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wa\projects\MOTION\public\logos\work-exp\impact\"/>
    </mc:Choice>
  </mc:AlternateContent>
  <xr:revisionPtr revIDLastSave="0" documentId="13_ncr:1_{367934CD-074C-4D9E-94D5-26C026D7E4DE}" xr6:coauthVersionLast="47" xr6:coauthVersionMax="47" xr10:uidLastSave="{00000000-0000-0000-0000-000000000000}"/>
  <bookViews>
    <workbookView xWindow="33480" yWindow="-120" windowWidth="29040" windowHeight="15720" tabRatio="808" xr2:uid="{00000000-000D-0000-FFFF-FFFF00000000}"/>
  </bookViews>
  <sheets>
    <sheet name="Inputs" sheetId="3" r:id="rId1"/>
    <sheet name="Assumptions" sheetId="16" r:id="rId2"/>
    <sheet name="IS" sheetId="7" r:id="rId3"/>
    <sheet name="BS" sheetId="8" r:id="rId4"/>
    <sheet name="CFS" sheetId="9" r:id="rId5"/>
    <sheet name="DCF" sheetId="15" r:id="rId6"/>
    <sheet name="Comps" sheetId="17" r:id="rId7"/>
    <sheet name="Summary" sheetId="10" r:id="rId8"/>
    <sheet name="Charts " sheetId="19" r:id="rId9"/>
  </sheets>
  <externalReferences>
    <externalReference r:id="rId10"/>
  </externalReferences>
  <definedNames>
    <definedName name="__123Graph_A" hidden="1">#REF!</definedName>
    <definedName name="__123Graph_X" hidden="1">#REF!</definedName>
    <definedName name="_a1" hidden="1">{"Assump",#N/A,TRUE,"Proforma";"first",#N/A,TRUE,"Proforma";"second",#N/A,TRUE,"Proforma";"lease1",#N/A,TRUE,"Proforma";"lease2",#N/A,TRUE,"Proforma"}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_Table1_In1" hidden="1">#REF!</definedName>
    <definedName name="_Table1_Out" hidden="1">#REF!</definedName>
    <definedName name="a" hidden="1">{"Assump",#N/A,TRUE,"Proforma";"first",#N/A,TRUE,"Proforma";"second",#N/A,TRUE,"Proforma";"lease1",#N/A,TRUE,"Proforma";"lease2",#N/A,TRUE,"Proforma"}</definedName>
    <definedName name="ab" hidden="1">{#N/A,#N/A,TRUE,"Ericsson Stadium PCD ";#N/A,#N/A,TRUE,"Ericsson Stadium IOR"}</definedName>
    <definedName name="ab_condo" hidden="1">{#N/A,#N/A,TRUE,"Ericsson Stadium PCD ";#N/A,#N/A,TRUE,"Ericsson Stadium IOR"}</definedName>
    <definedName name="anscount" hidden="1">1</definedName>
    <definedName name="Argus_Import">#REF!</definedName>
    <definedName name="Artist">#REF!</definedName>
    <definedName name="Backoffice.comp">#REF!</definedName>
    <definedName name="Cash_Flow">#REF!</definedName>
    <definedName name="Ccy">Inputs!$C$9</definedName>
    <definedName name="Choices_Wrapper">[0]!Choices_Wrapper</definedName>
    <definedName name="CIQWBGuid" hidden="1">""</definedName>
    <definedName name="circ">Inputs!#REF!</definedName>
    <definedName name="Computer">#REF!</definedName>
    <definedName name="CoName">Inputs!$C$6</definedName>
    <definedName name="Currency">#REF!</definedName>
    <definedName name="Currency_Options">#REF!</definedName>
    <definedName name="DATA_01" hidden="1">#REF!</definedName>
    <definedName name="days">#REF!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sign.comp">#REF!</definedName>
    <definedName name="Engineer.comp">#REF!</definedName>
    <definedName name="ev.Calculation">-4105</definedName>
    <definedName name="ev.Initialized">FALSE</definedName>
    <definedName name="Excel_Version">#REF!</definedName>
    <definedName name="Expiration">#REF!</definedName>
    <definedName name="FYE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>FALSE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YearLabel" hidden="1">#REF!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In_place_NOI">#REF!</definedName>
    <definedName name="IntroPrintArea" hidden="1">#REF!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44980.7881134259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ColHidden">FALSE</definedName>
    <definedName name="IsLTMColHidden">FALSE</definedName>
    <definedName name="JUNK" hidden="1">{"SCHEDULE",#N/A,FALSE,"Fin_sched"}</definedName>
    <definedName name="Junk_condo" hidden="1">{"SCHEDULE",#N/A,FALSE,"Fin_sched"}</definedName>
    <definedName name="JUNK2" hidden="1">{"SUMMARY",#N/A,FALSE,"Fin_sched"}</definedName>
    <definedName name="ll" hidden="1">{#N/A,#N/A,TRUE,"Maritime Park Arena PCD";#N/A,#N/A,TRUE,"Maritime Park Arena IOR"}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LTV">#REF!</definedName>
    <definedName name="Marketing.comp">#REF!</definedName>
    <definedName name="Maturity">#REF!</definedName>
    <definedName name="Name">#REF!</definedName>
    <definedName name="OS">#REF!</definedName>
    <definedName name="p.DCF" hidden="1">#REF!</definedName>
    <definedName name="p.DCF_Titles" hidden="1">#REF!</definedName>
    <definedName name="Par">#REF!</definedName>
    <definedName name="pier90" hidden="1">{"excavation",#N/A,FALSE,"DETAIL.XLS"}</definedName>
    <definedName name="platform" hidden="1">{#N/A,#N/A,TRUE,"Ericsson Stadium PCD ";#N/A,#N/A,TRUE,"Ericsson Stadium IOR"}</definedName>
    <definedName name="platforma" hidden="1">{#N/A,#N/A,TRUE,"Ericsson Stadium PCD ";#N/A,#N/A,TRUE,"Ericsson Stadium IOR"}</definedName>
    <definedName name="ProjectName">{"Client Name or Project Name"}</definedName>
    <definedName name="Purchase.price">#REF!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ecap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Sales.commission.percentage">#REF!</definedName>
    <definedName name="Sales.comp">#REF!</definedName>
    <definedName name="scale">#REF!</definedName>
    <definedName name="Scenario">#REF!</definedName>
    <definedName name="Series_One">OFFSET(#REF!,0,0,24,1)</definedName>
    <definedName name="Sq.footage">#REF!</definedName>
    <definedName name="SquareFeet">#REF!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art_Date">#REF!</definedName>
    <definedName name="Stub" hidden="1">#REF!</definedName>
    <definedName name="Subheader">#REF!</definedName>
    <definedName name="TTS" comment="Updated: 5/6/2020">#REF!</definedName>
    <definedName name="Units">Inputs!$C$10</definedName>
    <definedName name="Version">#REF!</definedName>
    <definedName name="w" hidden="1">#REF!</definedName>
    <definedName name="wrn.399." hidden="1">{#N/A,#N/A,FALSE,"A";#N/A,#N/A,FALSE,"C"}</definedName>
    <definedName name="wrn.ALL.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rena._.PCD." hidden="1">{#N/A,#N/A,TRUE,"Maritime Park Arena PCD";#N/A,#N/A,TRUE,"Maritime Park Arena IOR"}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data." hidden="1">{"data",#N/A,FALSE,"INPUT"}</definedName>
    <definedName name="wrn.Excavation." hidden="1">{"excavation",#N/A,FALSE,"DETAIL.XLS"}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terior._.Wall." hidden="1">{#N/A,#N/A,FALSE,"Paramters";"print range",#N/A,FALSE,"GSF.XLS";"exterior wall",#N/A,FALSE,"DETAIL.XLS"}</definedName>
    <definedName name="wrn.GSA._.PRINT." hidden="1">{#N/A,#N/A,FALSE,"DEV COSTS";#N/A,#N/A,FALSE,"10-YR C. F."}</definedName>
    <definedName name="wrn.Gund._.Arena._.PCD." hidden="1">{#N/A,#N/A,TRUE,"Gund Arena PCD";#N/A,#N/A,TRUE,"Gund Arena IOR"}</definedName>
    <definedName name="wrn.Interior._.finishes." hidden="1">{"interior finishes",#N/A,FALSE,"DETAIL.XLS"}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OFFICE._.BUDGET." hidden="1">{#N/A,#N/A,FALSE,"LP Exp";#N/A,#N/A,FALSE,"Salary";#N/A,#N/A,FALSE,"Admin Exp";#N/A,#N/A,FALSE,"QTS Bud";#N/A,#N/A,FALSE,"Marketing"}</definedName>
    <definedName name="wrn.PK._.Variance." hidden="1">{#N/A,#N/A,FALSE,"399 Park Var";#N/A,#N/A,FALSE,"PK NOTES"}</definedName>
    <definedName name="wrn.print." hidden="1">{"Assump",#N/A,TRUE,"Proforma";"first",#N/A,TRUE,"Proforma";"second",#N/A,TRUE,"Proforma";"lease1",#N/A,TRUE,"Proforma";"lease2",#N/A,TRUE,"Proforma"}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report" hidden="1">{#N/A,#N/A,FALSE,"Project Summary";#N/A,#N/A,FALSE,"Parameter Summary";#N/A,#N/A,FALSE,"Budget Control Report";#N/A,#N/A,FALSE,"DETAIL.XLS"}</definedName>
    <definedName name="wrn.REPORT.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s." hidden="1">{#N/A,#N/A,FALSE,"Project Summary";#N/A,#N/A,FALSE,"Parameter Summary";#N/A,#N/A,FALSE,"Budget Control Report";#N/A,#N/A,FALSE,"DETAIL.XLS"}</definedName>
    <definedName name="wrn.SCHEDULE" hidden="1">{"SCHEDULE",#N/A,FALSE,"Fin_sched"}</definedName>
    <definedName name="wrn.SCHEDULE." hidden="1">{"SCHEDULE",#N/A,FALSE,"Fin_sched"}</definedName>
    <definedName name="wrn.Stadium._.PCD." hidden="1">{#N/A,#N/A,TRUE,"Ericsson Stadium PCD ";#N/A,#N/A,TRUE,"Ericsson Stadium IOR"}</definedName>
    <definedName name="wrn.Structural._.Frame." hidden="1">{"structural",#N/A,FALSE,"DETAIL.XLS"}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Y." hidden="1">{"SUMMARY",#N/A,FALSE,"Fin_sched"}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Variance." hidden="1">{#N/A,#N/A,FALSE,"CCC Variance";#N/A,#N/A,FALSE,"CCC Notes"}</definedName>
    <definedName name="Yield">#REF!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6" l="1"/>
  <c r="I18" i="16"/>
  <c r="I29" i="8"/>
  <c r="J29" i="8" s="1"/>
  <c r="K29" i="8" s="1"/>
  <c r="L29" i="8" s="1"/>
  <c r="M29" i="8" s="1"/>
  <c r="N29" i="8" s="1"/>
  <c r="O29" i="8" s="1"/>
  <c r="P29" i="8" s="1"/>
  <c r="Q29" i="8" s="1"/>
  <c r="I125" i="16"/>
  <c r="D116" i="16"/>
  <c r="E116" i="16"/>
  <c r="F116" i="16"/>
  <c r="G116" i="16"/>
  <c r="H116" i="16"/>
  <c r="I116" i="16"/>
  <c r="I95" i="16"/>
  <c r="C19" i="15" l="1"/>
  <c r="H17" i="8"/>
  <c r="D47" i="19"/>
  <c r="D48" i="19" s="1"/>
  <c r="D46" i="19"/>
  <c r="O44" i="19"/>
  <c r="N44" i="19"/>
  <c r="M44" i="19"/>
  <c r="L44" i="19"/>
  <c r="K44" i="19"/>
  <c r="J44" i="19"/>
  <c r="H43" i="19"/>
  <c r="I44" i="19" s="1"/>
  <c r="U29" i="19"/>
  <c r="T29" i="19"/>
  <c r="S29" i="19"/>
  <c r="R29" i="19"/>
  <c r="Q29" i="19"/>
  <c r="P29" i="19"/>
  <c r="AG10" i="19"/>
  <c r="AG5" i="19"/>
  <c r="M5" i="19"/>
  <c r="L5" i="19"/>
  <c r="K5" i="19"/>
  <c r="AT4" i="19"/>
  <c r="AG4" i="19"/>
  <c r="V3" i="19"/>
  <c r="U3" i="19"/>
  <c r="Y6" i="17"/>
  <c r="G78" i="15"/>
  <c r="D25" i="7"/>
  <c r="E25" i="7"/>
  <c r="F25" i="7"/>
  <c r="G25" i="7"/>
  <c r="H25" i="7"/>
  <c r="I25" i="7"/>
  <c r="K29" i="15"/>
  <c r="L29" i="15"/>
  <c r="M29" i="15"/>
  <c r="N29" i="15"/>
  <c r="O29" i="15"/>
  <c r="P29" i="15"/>
  <c r="Q29" i="15"/>
  <c r="R29" i="15"/>
  <c r="J29" i="15"/>
  <c r="I102" i="16"/>
  <c r="I106" i="16"/>
  <c r="G106" i="16"/>
  <c r="H106" i="16"/>
  <c r="J20" i="16"/>
  <c r="J14" i="16" s="1"/>
  <c r="J15" i="16" s="1"/>
  <c r="G58" i="15"/>
  <c r="J106" i="16" l="1"/>
  <c r="K106" i="16" s="1"/>
  <c r="L106" i="16" s="1"/>
  <c r="M106" i="16" s="1"/>
  <c r="N106" i="16" s="1"/>
  <c r="O106" i="16" s="1"/>
  <c r="P106" i="16" s="1"/>
  <c r="Q106" i="16" s="1"/>
  <c r="R106" i="16" s="1"/>
  <c r="K8" i="19"/>
  <c r="K6" i="19"/>
  <c r="L8" i="19"/>
  <c r="L7" i="19"/>
  <c r="L6" i="19"/>
  <c r="M8" i="19"/>
  <c r="M7" i="19"/>
  <c r="M6" i="19"/>
  <c r="E23" i="16" l="1"/>
  <c r="I33" i="16"/>
  <c r="H33" i="16"/>
  <c r="I29" i="16"/>
  <c r="H29" i="16"/>
  <c r="I62" i="16"/>
  <c r="J58" i="16" s="1"/>
  <c r="W7" i="17"/>
  <c r="W9" i="17"/>
  <c r="W6" i="17"/>
  <c r="C14" i="15"/>
  <c r="C16" i="15" s="1"/>
  <c r="C22" i="15" s="1"/>
  <c r="R15" i="10"/>
  <c r="R10" i="10"/>
  <c r="R12" i="10" s="1"/>
  <c r="D2" i="10"/>
  <c r="E2" i="10" s="1"/>
  <c r="F2" i="10" s="1"/>
  <c r="G2" i="10" s="1"/>
  <c r="H2" i="10" s="1"/>
  <c r="I2" i="10" s="1"/>
  <c r="J2" i="10" s="1"/>
  <c r="Q29" i="17"/>
  <c r="Q21" i="17"/>
  <c r="P27" i="17"/>
  <c r="P21" i="17"/>
  <c r="AE9" i="17"/>
  <c r="AG9" i="17" s="1"/>
  <c r="Y9" i="17"/>
  <c r="AA9" i="17" s="1"/>
  <c r="AA17" i="17" s="1"/>
  <c r="AG7" i="17"/>
  <c r="AG17" i="17" s="1"/>
  <c r="AG6" i="17"/>
  <c r="AD7" i="17"/>
  <c r="D15" i="17"/>
  <c r="D14" i="17"/>
  <c r="C12" i="17"/>
  <c r="C53" i="15"/>
  <c r="D8" i="17"/>
  <c r="B10" i="17"/>
  <c r="B12" i="17"/>
  <c r="V8" i="17" s="1"/>
  <c r="B11" i="17"/>
  <c r="C54" i="15"/>
  <c r="Q99" i="16"/>
  <c r="R99" i="16"/>
  <c r="I23" i="16"/>
  <c r="BD15" i="19" s="1"/>
  <c r="I26" i="16"/>
  <c r="E26" i="16"/>
  <c r="F26" i="16"/>
  <c r="BK5" i="19" s="1"/>
  <c r="G26" i="16"/>
  <c r="BL5" i="19" s="1"/>
  <c r="H26" i="16"/>
  <c r="BM5" i="19" s="1"/>
  <c r="D26" i="16"/>
  <c r="E20" i="9"/>
  <c r="B9" i="17"/>
  <c r="Y7" i="17"/>
  <c r="AA7" i="17" s="1"/>
  <c r="AA6" i="17"/>
  <c r="A1" i="7"/>
  <c r="I15" i="16"/>
  <c r="E15" i="16"/>
  <c r="H23" i="16"/>
  <c r="BC15" i="19" s="1"/>
  <c r="I126" i="16"/>
  <c r="J123" i="16" s="1"/>
  <c r="E126" i="16"/>
  <c r="F126" i="16"/>
  <c r="G126" i="16"/>
  <c r="H123" i="16" s="1"/>
  <c r="H126" i="16"/>
  <c r="I123" i="16" s="1"/>
  <c r="D126" i="16"/>
  <c r="E123" i="16" s="1"/>
  <c r="E125" i="16"/>
  <c r="F125" i="16"/>
  <c r="G125" i="16"/>
  <c r="H125" i="16"/>
  <c r="I128" i="16" s="1"/>
  <c r="J128" i="16" s="1"/>
  <c r="A1" i="8"/>
  <c r="D23" i="16"/>
  <c r="F23" i="16"/>
  <c r="BA15" i="19" s="1"/>
  <c r="G23" i="16"/>
  <c r="BB15" i="19" s="1"/>
  <c r="F21" i="16"/>
  <c r="BK8" i="19" s="1"/>
  <c r="G21" i="16"/>
  <c r="BL8" i="19" s="1"/>
  <c r="H21" i="16"/>
  <c r="BM8" i="19" s="1"/>
  <c r="I21" i="16"/>
  <c r="BN8" i="19" s="1"/>
  <c r="E21" i="16"/>
  <c r="F15" i="16"/>
  <c r="G15" i="16"/>
  <c r="H15" i="16"/>
  <c r="I26" i="9"/>
  <c r="I42" i="8" s="1"/>
  <c r="C45" i="8"/>
  <c r="D45" i="8"/>
  <c r="E45" i="8"/>
  <c r="F45" i="8"/>
  <c r="G45" i="8"/>
  <c r="H45" i="8"/>
  <c r="I108" i="16"/>
  <c r="R18" i="10" l="1"/>
  <c r="J26" i="16"/>
  <c r="BN5" i="19"/>
  <c r="G55" i="15"/>
  <c r="G75" i="15"/>
  <c r="B17" i="17"/>
  <c r="I8" i="17"/>
  <c r="I11" i="17" s="1"/>
  <c r="K8" i="17"/>
  <c r="F8" i="17"/>
  <c r="F11" i="17" s="1"/>
  <c r="J8" i="17"/>
  <c r="E8" i="17"/>
  <c r="H8" i="17"/>
  <c r="G8" i="17"/>
  <c r="J55" i="17"/>
  <c r="J57" i="17" s="1"/>
  <c r="B16" i="17"/>
  <c r="C58" i="17"/>
  <c r="B68" i="17"/>
  <c r="B63" i="17"/>
  <c r="B58" i="17"/>
  <c r="F129" i="16"/>
  <c r="G128" i="16"/>
  <c r="G129" i="16"/>
  <c r="H128" i="16"/>
  <c r="F128" i="16"/>
  <c r="E124" i="16"/>
  <c r="F123" i="16"/>
  <c r="F124" i="16" s="1"/>
  <c r="G123" i="16"/>
  <c r="G124" i="16" s="1"/>
  <c r="H129" i="16"/>
  <c r="J125" i="16"/>
  <c r="H124" i="16"/>
  <c r="I10" i="17" l="1"/>
  <c r="I12" i="17" s="1"/>
  <c r="AE8" i="17" s="1"/>
  <c r="D12" i="17"/>
  <c r="Z8" i="17" s="1"/>
  <c r="W8" i="17" s="1"/>
  <c r="F10" i="17"/>
  <c r="F12" i="17" s="1"/>
  <c r="S8" i="17" s="1"/>
  <c r="J56" i="17"/>
  <c r="J58" i="17" s="1"/>
  <c r="J25" i="16"/>
  <c r="J105" i="16" s="1"/>
  <c r="O39" i="15"/>
  <c r="Q39" i="15"/>
  <c r="M39" i="15"/>
  <c r="N39" i="15"/>
  <c r="P39" i="15"/>
  <c r="R39" i="15"/>
  <c r="K39" i="15"/>
  <c r="L39" i="15"/>
  <c r="K11" i="17"/>
  <c r="K10" i="17"/>
  <c r="E11" i="17"/>
  <c r="E10" i="17"/>
  <c r="J11" i="17"/>
  <c r="J10" i="17"/>
  <c r="G11" i="17"/>
  <c r="G10" i="17"/>
  <c r="H11" i="17"/>
  <c r="H10" i="17"/>
  <c r="B60" i="17"/>
  <c r="B59" i="17"/>
  <c r="B65" i="17"/>
  <c r="B64" i="17"/>
  <c r="B70" i="17"/>
  <c r="B69" i="17"/>
  <c r="C60" i="17"/>
  <c r="C59" i="17"/>
  <c r="I7" i="9"/>
  <c r="K128" i="16"/>
  <c r="K125" i="16" s="1"/>
  <c r="K20" i="16"/>
  <c r="K14" i="16" s="1"/>
  <c r="K15" i="16" s="1"/>
  <c r="K12" i="17" l="1"/>
  <c r="R8" i="17" s="1"/>
  <c r="J12" i="17"/>
  <c r="AF8" i="17" s="1"/>
  <c r="AG8" i="17" s="1"/>
  <c r="AG14" i="17" s="1"/>
  <c r="C61" i="17"/>
  <c r="G12" i="17"/>
  <c r="AB8" i="17" s="1"/>
  <c r="J39" i="15"/>
  <c r="E12" i="17"/>
  <c r="H12" i="17"/>
  <c r="AC8" i="17" s="1"/>
  <c r="L20" i="16"/>
  <c r="L14" i="16" s="1"/>
  <c r="I31" i="8"/>
  <c r="B61" i="17"/>
  <c r="B71" i="17"/>
  <c r="B66" i="17"/>
  <c r="K17" i="16"/>
  <c r="L11" i="16" s="1"/>
  <c r="K25" i="16"/>
  <c r="J7" i="9"/>
  <c r="L128" i="16"/>
  <c r="L125" i="16" s="1"/>
  <c r="X8" i="17" l="1"/>
  <c r="Y8" i="17" s="1"/>
  <c r="AA8" i="17" s="1"/>
  <c r="AG15" i="17"/>
  <c r="AG16" i="17"/>
  <c r="Q22" i="17" s="1"/>
  <c r="Q28" i="17" s="1"/>
  <c r="Q30" i="17" s="1"/>
  <c r="L15" i="16"/>
  <c r="AD8" i="17"/>
  <c r="AD16" i="17" s="1"/>
  <c r="J31" i="8"/>
  <c r="K105" i="16"/>
  <c r="D61" i="17"/>
  <c r="L17" i="16"/>
  <c r="M11" i="16" s="1"/>
  <c r="L25" i="16"/>
  <c r="M20" i="16"/>
  <c r="K7" i="9"/>
  <c r="M128" i="16"/>
  <c r="M125" i="16" s="1"/>
  <c r="C17" i="8"/>
  <c r="E75" i="16"/>
  <c r="E76" i="16" s="1"/>
  <c r="F75" i="16"/>
  <c r="F76" i="16" s="1"/>
  <c r="G75" i="16"/>
  <c r="G76" i="16" s="1"/>
  <c r="H75" i="16"/>
  <c r="H76" i="16" s="1"/>
  <c r="I75" i="16"/>
  <c r="I76" i="16" s="1"/>
  <c r="J76" i="16" s="1"/>
  <c r="D75" i="16"/>
  <c r="D76" i="16" s="1"/>
  <c r="E17" i="8"/>
  <c r="D17" i="8"/>
  <c r="F17" i="8"/>
  <c r="G17" i="8"/>
  <c r="C20" i="9"/>
  <c r="I27" i="9"/>
  <c r="J27" i="9" s="1"/>
  <c r="K27" i="9" s="1"/>
  <c r="L27" i="9" s="1"/>
  <c r="M27" i="9" s="1"/>
  <c r="N27" i="9" s="1"/>
  <c r="O27" i="9" s="1"/>
  <c r="P27" i="9" s="1"/>
  <c r="Q27" i="9" s="1"/>
  <c r="H28" i="9"/>
  <c r="I44" i="8"/>
  <c r="J44" i="8" s="1"/>
  <c r="K44" i="8" s="1"/>
  <c r="L44" i="8" s="1"/>
  <c r="M44" i="8" s="1"/>
  <c r="N44" i="8" s="1"/>
  <c r="O44" i="8" s="1"/>
  <c r="P44" i="8" s="1"/>
  <c r="Q44" i="8" s="1"/>
  <c r="J155" i="16"/>
  <c r="I22" i="8"/>
  <c r="J22" i="8" s="1"/>
  <c r="K22" i="8" s="1"/>
  <c r="L22" i="8" s="1"/>
  <c r="M22" i="8" s="1"/>
  <c r="N22" i="8" s="1"/>
  <c r="O22" i="8" s="1"/>
  <c r="P22" i="8" s="1"/>
  <c r="Q22" i="8" s="1"/>
  <c r="E90" i="16"/>
  <c r="E91" i="16" s="1"/>
  <c r="F90" i="16"/>
  <c r="F91" i="16" s="1"/>
  <c r="G90" i="16"/>
  <c r="G91" i="16" s="1"/>
  <c r="H90" i="16"/>
  <c r="H91" i="16" s="1"/>
  <c r="I90" i="16"/>
  <c r="I91" i="16" s="1"/>
  <c r="D90" i="16"/>
  <c r="D91" i="16" s="1"/>
  <c r="E87" i="16"/>
  <c r="E88" i="16" s="1"/>
  <c r="F87" i="16"/>
  <c r="F88" i="16" s="1"/>
  <c r="G87" i="16"/>
  <c r="G88" i="16" s="1"/>
  <c r="H87" i="16"/>
  <c r="H88" i="16" s="1"/>
  <c r="I87" i="16"/>
  <c r="I88" i="16" s="1"/>
  <c r="D87" i="16"/>
  <c r="D88" i="16" s="1"/>
  <c r="I20" i="8"/>
  <c r="J20" i="8" s="1"/>
  <c r="K20" i="8" s="1"/>
  <c r="L20" i="8" s="1"/>
  <c r="M20" i="8" s="1"/>
  <c r="N20" i="8" s="1"/>
  <c r="O20" i="8" s="1"/>
  <c r="P20" i="8" s="1"/>
  <c r="Q20" i="8" s="1"/>
  <c r="E84" i="16"/>
  <c r="F84" i="16"/>
  <c r="G84" i="16"/>
  <c r="H84" i="16"/>
  <c r="I84" i="16"/>
  <c r="D84" i="16"/>
  <c r="E81" i="16"/>
  <c r="E82" i="16" s="1"/>
  <c r="F81" i="16"/>
  <c r="F82" i="16" s="1"/>
  <c r="G81" i="16"/>
  <c r="G82" i="16" s="1"/>
  <c r="H81" i="16"/>
  <c r="H82" i="16" s="1"/>
  <c r="I81" i="16"/>
  <c r="I82" i="16" s="1"/>
  <c r="D81" i="16"/>
  <c r="D82" i="16" s="1"/>
  <c r="E78" i="16"/>
  <c r="E79" i="16" s="1"/>
  <c r="F78" i="16"/>
  <c r="F79" i="16" s="1"/>
  <c r="G78" i="16"/>
  <c r="G79" i="16" s="1"/>
  <c r="H78" i="16"/>
  <c r="H79" i="16" s="1"/>
  <c r="I78" i="16"/>
  <c r="I79" i="16" s="1"/>
  <c r="D78" i="16"/>
  <c r="D79" i="16" s="1"/>
  <c r="E72" i="16"/>
  <c r="E73" i="16" s="1"/>
  <c r="F72" i="16"/>
  <c r="F73" i="16" s="1"/>
  <c r="G72" i="16"/>
  <c r="G73" i="16" s="1"/>
  <c r="H72" i="16"/>
  <c r="H73" i="16" s="1"/>
  <c r="I72" i="16"/>
  <c r="I73" i="16" s="1"/>
  <c r="J73" i="16" s="1"/>
  <c r="K73" i="16" s="1"/>
  <c r="L73" i="16" s="1"/>
  <c r="M73" i="16" s="1"/>
  <c r="N73" i="16" s="1"/>
  <c r="O73" i="16" s="1"/>
  <c r="P73" i="16" s="1"/>
  <c r="Q73" i="16" s="1"/>
  <c r="D72" i="16"/>
  <c r="D73" i="16" s="1"/>
  <c r="E69" i="16"/>
  <c r="E70" i="16" s="1"/>
  <c r="F69" i="16"/>
  <c r="F70" i="16" s="1"/>
  <c r="G69" i="16"/>
  <c r="G70" i="16" s="1"/>
  <c r="H69" i="16"/>
  <c r="H70" i="16" s="1"/>
  <c r="I69" i="16"/>
  <c r="I70" i="16" s="1"/>
  <c r="D69" i="16"/>
  <c r="D70" i="16" s="1"/>
  <c r="E66" i="16"/>
  <c r="E67" i="16" s="1"/>
  <c r="F66" i="16"/>
  <c r="F67" i="16" s="1"/>
  <c r="G66" i="16"/>
  <c r="G67" i="16" s="1"/>
  <c r="H66" i="16"/>
  <c r="H67" i="16" s="1"/>
  <c r="I66" i="16"/>
  <c r="I67" i="16" s="1"/>
  <c r="D66" i="16"/>
  <c r="D67" i="16" s="1"/>
  <c r="J148" i="16"/>
  <c r="I117" i="16"/>
  <c r="I118" i="16" s="1"/>
  <c r="E136" i="16"/>
  <c r="E137" i="16" s="1"/>
  <c r="F136" i="16"/>
  <c r="F137" i="16" s="1"/>
  <c r="G136" i="16"/>
  <c r="G137" i="16" s="1"/>
  <c r="H136" i="16"/>
  <c r="H137" i="16" s="1"/>
  <c r="I136" i="16"/>
  <c r="I137" i="16" s="1"/>
  <c r="D136" i="16"/>
  <c r="D137" i="16" s="1"/>
  <c r="E117" i="16"/>
  <c r="E118" i="16" s="1"/>
  <c r="F117" i="16"/>
  <c r="F118" i="16" s="1"/>
  <c r="G117" i="16"/>
  <c r="G118" i="16" s="1"/>
  <c r="H117" i="16"/>
  <c r="H118" i="16" s="1"/>
  <c r="D117" i="16"/>
  <c r="D118" i="16" s="1"/>
  <c r="E113" i="16"/>
  <c r="F113" i="16"/>
  <c r="G113" i="16"/>
  <c r="H113" i="16"/>
  <c r="I113" i="16"/>
  <c r="D113" i="16"/>
  <c r="D6" i="9"/>
  <c r="E6" i="9"/>
  <c r="F6" i="9"/>
  <c r="G6" i="9"/>
  <c r="H6" i="9"/>
  <c r="C6" i="9"/>
  <c r="D5" i="9"/>
  <c r="E5" i="9"/>
  <c r="F5" i="9"/>
  <c r="G5" i="9"/>
  <c r="H5" i="9"/>
  <c r="C5" i="9"/>
  <c r="D20" i="9"/>
  <c r="G20" i="9"/>
  <c r="H20" i="9"/>
  <c r="F20" i="9"/>
  <c r="E134" i="16"/>
  <c r="E135" i="16" s="1"/>
  <c r="F134" i="16"/>
  <c r="F135" i="16" s="1"/>
  <c r="G134" i="16"/>
  <c r="G135" i="16" s="1"/>
  <c r="H134" i="16"/>
  <c r="H135" i="16" s="1"/>
  <c r="I134" i="16"/>
  <c r="I135" i="16" s="1"/>
  <c r="D134" i="16"/>
  <c r="D135" i="16" s="1"/>
  <c r="G33" i="8"/>
  <c r="H33" i="8"/>
  <c r="F33" i="8"/>
  <c r="E33" i="8"/>
  <c r="D33" i="8"/>
  <c r="C33" i="8"/>
  <c r="I20" i="7"/>
  <c r="J142" i="16"/>
  <c r="J164" i="16"/>
  <c r="F52" i="16"/>
  <c r="G52" i="16"/>
  <c r="H52" i="16"/>
  <c r="I52" i="16"/>
  <c r="E52" i="16"/>
  <c r="E42" i="16"/>
  <c r="F42" i="16"/>
  <c r="G42" i="16"/>
  <c r="H42" i="16"/>
  <c r="I42" i="16"/>
  <c r="E44" i="16"/>
  <c r="F44" i="16"/>
  <c r="G44" i="16"/>
  <c r="H44" i="16"/>
  <c r="I44" i="16"/>
  <c r="E46" i="16"/>
  <c r="F46" i="16"/>
  <c r="G46" i="16"/>
  <c r="H46" i="16"/>
  <c r="I46" i="16"/>
  <c r="D46" i="16"/>
  <c r="D44" i="16"/>
  <c r="D42" i="16"/>
  <c r="F11" i="7"/>
  <c r="I11" i="7"/>
  <c r="E11" i="16"/>
  <c r="F11" i="16"/>
  <c r="F17" i="16" s="1"/>
  <c r="F18" i="16" s="1"/>
  <c r="G11" i="16"/>
  <c r="H11" i="16"/>
  <c r="I11" i="16"/>
  <c r="D11" i="16"/>
  <c r="E37" i="16"/>
  <c r="F37" i="16"/>
  <c r="G37" i="16"/>
  <c r="H37" i="16"/>
  <c r="I37" i="16"/>
  <c r="D37" i="16"/>
  <c r="C28" i="9"/>
  <c r="D28" i="9"/>
  <c r="E28" i="9"/>
  <c r="F28" i="9"/>
  <c r="G28" i="9"/>
  <c r="E20" i="7"/>
  <c r="F20" i="7"/>
  <c r="G20" i="7"/>
  <c r="H20" i="7"/>
  <c r="D20" i="7"/>
  <c r="E11" i="7"/>
  <c r="G11" i="7"/>
  <c r="H11" i="7"/>
  <c r="D11" i="7"/>
  <c r="D2" i="9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D25" i="8"/>
  <c r="E25" i="8"/>
  <c r="F25" i="8"/>
  <c r="G25" i="8"/>
  <c r="C25" i="8"/>
  <c r="D37" i="8"/>
  <c r="E37" i="8"/>
  <c r="F37" i="8"/>
  <c r="G37" i="8"/>
  <c r="H37" i="8"/>
  <c r="C37" i="8"/>
  <c r="J135" i="16" l="1"/>
  <c r="E17" i="16"/>
  <c r="E18" i="16" s="1"/>
  <c r="K31" i="8"/>
  <c r="L105" i="16"/>
  <c r="AA14" i="17"/>
  <c r="AA16" i="17"/>
  <c r="P22" i="17" s="1"/>
  <c r="P23" i="17" s="1"/>
  <c r="AA15" i="17"/>
  <c r="R73" i="16"/>
  <c r="I85" i="16"/>
  <c r="H85" i="16"/>
  <c r="G85" i="16"/>
  <c r="F85" i="16"/>
  <c r="D85" i="16"/>
  <c r="E85" i="16"/>
  <c r="M14" i="16"/>
  <c r="N20" i="16"/>
  <c r="O20" i="16" s="1"/>
  <c r="I12" i="16"/>
  <c r="E12" i="16"/>
  <c r="L7" i="9"/>
  <c r="N128" i="16"/>
  <c r="N125" i="16" s="1"/>
  <c r="H17" i="16"/>
  <c r="H18" i="16" s="1"/>
  <c r="G17" i="16"/>
  <c r="G18" i="16" s="1"/>
  <c r="I17" i="16"/>
  <c r="J52" i="16"/>
  <c r="J18" i="7" s="1"/>
  <c r="J166" i="16"/>
  <c r="J17" i="7" s="1"/>
  <c r="I35" i="8"/>
  <c r="C47" i="8"/>
  <c r="K76" i="16"/>
  <c r="J91" i="16"/>
  <c r="J82" i="16"/>
  <c r="K82" i="16" s="1"/>
  <c r="L82" i="16" s="1"/>
  <c r="M82" i="16" s="1"/>
  <c r="N82" i="16" s="1"/>
  <c r="O82" i="16" s="1"/>
  <c r="P82" i="16" s="1"/>
  <c r="Q82" i="16" s="1"/>
  <c r="C27" i="8"/>
  <c r="I114" i="16"/>
  <c r="H25" i="8"/>
  <c r="H27" i="8" s="1"/>
  <c r="D114" i="16"/>
  <c r="J67" i="16"/>
  <c r="H114" i="16"/>
  <c r="F114" i="16"/>
  <c r="G114" i="16"/>
  <c r="E114" i="16"/>
  <c r="E47" i="16"/>
  <c r="J118" i="16"/>
  <c r="K118" i="16" s="1"/>
  <c r="L118" i="16" s="1"/>
  <c r="M118" i="16" s="1"/>
  <c r="N118" i="16" s="1"/>
  <c r="O118" i="16" s="1"/>
  <c r="P118" i="16" s="1"/>
  <c r="Q118" i="16" s="1"/>
  <c r="R118" i="16" s="1"/>
  <c r="F53" i="16"/>
  <c r="K161" i="16"/>
  <c r="E39" i="8"/>
  <c r="F39" i="8"/>
  <c r="G39" i="8"/>
  <c r="H39" i="8"/>
  <c r="D39" i="8"/>
  <c r="G47" i="8"/>
  <c r="F47" i="8"/>
  <c r="F27" i="8"/>
  <c r="E27" i="8"/>
  <c r="C39" i="8"/>
  <c r="H53" i="16"/>
  <c r="E53" i="16"/>
  <c r="I53" i="16"/>
  <c r="G53" i="16"/>
  <c r="J42" i="16"/>
  <c r="F12" i="16"/>
  <c r="I48" i="16"/>
  <c r="I49" i="16" s="1"/>
  <c r="D48" i="16"/>
  <c r="D49" i="16" s="1"/>
  <c r="E48" i="16"/>
  <c r="E49" i="16" s="1"/>
  <c r="D39" i="16"/>
  <c r="G48" i="16"/>
  <c r="G49" i="16" s="1"/>
  <c r="F48" i="16"/>
  <c r="F49" i="16" s="1"/>
  <c r="H48" i="16"/>
  <c r="H49" i="16" s="1"/>
  <c r="F47" i="16"/>
  <c r="I43" i="16"/>
  <c r="I47" i="16"/>
  <c r="D45" i="16"/>
  <c r="D47" i="16"/>
  <c r="G12" i="16"/>
  <c r="F45" i="16"/>
  <c r="D43" i="16"/>
  <c r="E45" i="16"/>
  <c r="H39" i="16"/>
  <c r="I45" i="16"/>
  <c r="E43" i="16"/>
  <c r="H45" i="16"/>
  <c r="G45" i="16"/>
  <c r="H47" i="16"/>
  <c r="G43" i="16"/>
  <c r="F43" i="16"/>
  <c r="G47" i="16"/>
  <c r="H43" i="16"/>
  <c r="E38" i="16"/>
  <c r="E39" i="16"/>
  <c r="H38" i="16"/>
  <c r="G39" i="16"/>
  <c r="G38" i="16"/>
  <c r="H12" i="16"/>
  <c r="F39" i="16"/>
  <c r="F38" i="16"/>
  <c r="I39" i="16"/>
  <c r="D38" i="16"/>
  <c r="I38" i="16"/>
  <c r="E47" i="8"/>
  <c r="H47" i="8"/>
  <c r="D47" i="8"/>
  <c r="G27" i="8"/>
  <c r="D27" i="8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E6" i="7"/>
  <c r="F6" i="7"/>
  <c r="G6" i="7"/>
  <c r="H6" i="7"/>
  <c r="I6" i="7"/>
  <c r="I12" i="7" s="1"/>
  <c r="I15" i="7" s="1"/>
  <c r="AC6" i="17" s="1"/>
  <c r="AD6" i="17" s="1"/>
  <c r="D6" i="7"/>
  <c r="F3" i="7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A1" i="10"/>
  <c r="A1" i="9"/>
  <c r="P20" i="16" l="1"/>
  <c r="P14" i="16" s="1"/>
  <c r="P24" i="17"/>
  <c r="P28" i="17" s="1"/>
  <c r="P30" i="17" s="1"/>
  <c r="P32" i="17" s="1"/>
  <c r="R82" i="16"/>
  <c r="M17" i="16"/>
  <c r="N11" i="16" s="1"/>
  <c r="M25" i="16"/>
  <c r="J85" i="16"/>
  <c r="K85" i="16" s="1"/>
  <c r="M15" i="16"/>
  <c r="N14" i="16"/>
  <c r="O14" i="16"/>
  <c r="M7" i="9"/>
  <c r="O128" i="16"/>
  <c r="O125" i="16" s="1"/>
  <c r="J20" i="7"/>
  <c r="J46" i="16"/>
  <c r="J9" i="7" s="1"/>
  <c r="J4" i="7"/>
  <c r="I8" i="9" s="1"/>
  <c r="I41" i="8" s="1"/>
  <c r="J7" i="7"/>
  <c r="J75" i="16" s="1"/>
  <c r="I15" i="8" s="1"/>
  <c r="J98" i="16" s="1"/>
  <c r="J37" i="16"/>
  <c r="J39" i="16" s="1"/>
  <c r="J44" i="16"/>
  <c r="J8" i="7" s="1"/>
  <c r="I28" i="9"/>
  <c r="J61" i="16" s="1"/>
  <c r="L76" i="16"/>
  <c r="J114" i="16"/>
  <c r="J113" i="16" s="1"/>
  <c r="K91" i="16"/>
  <c r="K164" i="16"/>
  <c r="J117" i="16"/>
  <c r="J32" i="15" s="1"/>
  <c r="K67" i="16"/>
  <c r="I22" i="7"/>
  <c r="I28" i="7" s="1"/>
  <c r="L38" i="16"/>
  <c r="G12" i="7"/>
  <c r="G15" i="7" s="1"/>
  <c r="D12" i="7"/>
  <c r="D15" i="7" s="1"/>
  <c r="F12" i="7"/>
  <c r="F15" i="7" s="1"/>
  <c r="E12" i="7"/>
  <c r="E15" i="7" s="1"/>
  <c r="H12" i="7"/>
  <c r="H15" i="7" s="1"/>
  <c r="J11" i="7" l="1"/>
  <c r="J84" i="16" s="1"/>
  <c r="I32" i="8" s="1"/>
  <c r="J104" i="16" s="1"/>
  <c r="V11" i="10"/>
  <c r="W11" i="10" s="1"/>
  <c r="S38" i="17"/>
  <c r="P34" i="17"/>
  <c r="P15" i="16"/>
  <c r="Q20" i="16"/>
  <c r="L31" i="8"/>
  <c r="M105" i="16"/>
  <c r="L85" i="16"/>
  <c r="M85" i="16" s="1"/>
  <c r="P17" i="16"/>
  <c r="Q11" i="16" s="1"/>
  <c r="O17" i="16"/>
  <c r="P11" i="16" s="1"/>
  <c r="O25" i="16"/>
  <c r="N17" i="16"/>
  <c r="O11" i="16" s="1"/>
  <c r="N25" i="16"/>
  <c r="J66" i="16"/>
  <c r="I14" i="8" s="1"/>
  <c r="J97" i="16" s="1"/>
  <c r="J90" i="16"/>
  <c r="I36" i="8" s="1"/>
  <c r="I37" i="8" s="1"/>
  <c r="O15" i="16"/>
  <c r="N15" i="16"/>
  <c r="N7" i="9"/>
  <c r="P128" i="16"/>
  <c r="J78" i="16"/>
  <c r="I23" i="8" s="1"/>
  <c r="J134" i="16"/>
  <c r="J35" i="15" s="1"/>
  <c r="J5" i="7"/>
  <c r="J6" i="7" s="1"/>
  <c r="J136" i="16"/>
  <c r="J36" i="15" s="1"/>
  <c r="J87" i="16"/>
  <c r="J48" i="16"/>
  <c r="J49" i="16" s="1"/>
  <c r="J69" i="16"/>
  <c r="I13" i="8" s="1"/>
  <c r="J72" i="16"/>
  <c r="L161" i="16"/>
  <c r="L164" i="16" s="1"/>
  <c r="J35" i="8"/>
  <c r="J31" i="15"/>
  <c r="M76" i="16"/>
  <c r="J150" i="16"/>
  <c r="I6" i="9"/>
  <c r="K166" i="16"/>
  <c r="K17" i="7" s="1"/>
  <c r="L91" i="16"/>
  <c r="L67" i="16"/>
  <c r="D22" i="7"/>
  <c r="D28" i="7" s="1"/>
  <c r="D30" i="7" s="1"/>
  <c r="C4" i="9" s="1"/>
  <c r="C11" i="9" s="1"/>
  <c r="F22" i="7"/>
  <c r="F28" i="7" s="1"/>
  <c r="F30" i="7" s="1"/>
  <c r="E4" i="9" s="1"/>
  <c r="E11" i="9" s="1"/>
  <c r="BA20" i="19" s="1"/>
  <c r="M38" i="16"/>
  <c r="N38" i="16" s="1"/>
  <c r="E22" i="7"/>
  <c r="H22" i="7"/>
  <c r="G22" i="7"/>
  <c r="I30" i="7"/>
  <c r="H4" i="9" s="1"/>
  <c r="H11" i="9" s="1"/>
  <c r="H32" i="9" l="1"/>
  <c r="BD20" i="19"/>
  <c r="R20" i="16"/>
  <c r="R14" i="16" s="1"/>
  <c r="R25" i="16" s="1"/>
  <c r="Q31" i="8" s="1"/>
  <c r="Q14" i="16"/>
  <c r="M31" i="8"/>
  <c r="N105" i="16"/>
  <c r="N31" i="8"/>
  <c r="O105" i="16"/>
  <c r="Q128" i="16"/>
  <c r="R128" i="16" s="1"/>
  <c r="P125" i="16"/>
  <c r="Q52" i="16"/>
  <c r="Q18" i="7" s="1"/>
  <c r="Q4" i="7"/>
  <c r="N85" i="16"/>
  <c r="Q42" i="16"/>
  <c r="Q7" i="7" s="1"/>
  <c r="Q44" i="16"/>
  <c r="Q8" i="7" s="1"/>
  <c r="Q46" i="16"/>
  <c r="Q9" i="7" s="1"/>
  <c r="O38" i="16"/>
  <c r="J12" i="7"/>
  <c r="J22" i="7" s="1"/>
  <c r="Q12" i="16"/>
  <c r="P25" i="16"/>
  <c r="P12" i="16"/>
  <c r="E32" i="9"/>
  <c r="L52" i="16"/>
  <c r="L18" i="7" s="1"/>
  <c r="M12" i="16"/>
  <c r="I14" i="9"/>
  <c r="J143" i="16"/>
  <c r="J81" i="16"/>
  <c r="I30" i="8" s="1"/>
  <c r="I33" i="8" s="1"/>
  <c r="I39" i="8" s="1"/>
  <c r="I15" i="9"/>
  <c r="J149" i="16"/>
  <c r="J151" i="16" s="1"/>
  <c r="L37" i="16"/>
  <c r="L39" i="16" s="1"/>
  <c r="L42" i="16"/>
  <c r="L7" i="7" s="1"/>
  <c r="L44" i="16"/>
  <c r="L8" i="7" s="1"/>
  <c r="L46" i="16"/>
  <c r="L9" i="7" s="1"/>
  <c r="L4" i="7"/>
  <c r="K8" i="9" s="1"/>
  <c r="K26" i="9" s="1"/>
  <c r="M161" i="16"/>
  <c r="M164" i="16" s="1"/>
  <c r="M166" i="16" s="1"/>
  <c r="K35" i="8"/>
  <c r="I5" i="9"/>
  <c r="J144" i="16"/>
  <c r="N76" i="16"/>
  <c r="M91" i="16"/>
  <c r="L166" i="16"/>
  <c r="L17" i="7" s="1"/>
  <c r="M67" i="16"/>
  <c r="C32" i="9"/>
  <c r="H28" i="7"/>
  <c r="H30" i="7" s="1"/>
  <c r="G4" i="9" s="1"/>
  <c r="G11" i="9" s="1"/>
  <c r="BC20" i="19" s="1"/>
  <c r="G28" i="7"/>
  <c r="G30" i="7" s="1"/>
  <c r="F4" i="9" s="1"/>
  <c r="F11" i="9" s="1"/>
  <c r="BB20" i="19" s="1"/>
  <c r="BB21" i="19" s="1"/>
  <c r="E28" i="7"/>
  <c r="E30" i="7" s="1"/>
  <c r="D4" i="9" s="1"/>
  <c r="D11" i="9" s="1"/>
  <c r="BC21" i="19" l="1"/>
  <c r="BD21" i="19"/>
  <c r="R105" i="16"/>
  <c r="R15" i="16"/>
  <c r="R17" i="16"/>
  <c r="Q25" i="16"/>
  <c r="Q17" i="16"/>
  <c r="R11" i="16" s="1"/>
  <c r="Q15" i="16"/>
  <c r="J28" i="7"/>
  <c r="J29" i="7" s="1"/>
  <c r="O31" i="8"/>
  <c r="P105" i="16"/>
  <c r="P8" i="9"/>
  <c r="P26" i="9" s="1"/>
  <c r="Q125" i="16"/>
  <c r="O7" i="9"/>
  <c r="Q136" i="16"/>
  <c r="Q87" i="16"/>
  <c r="Q78" i="16"/>
  <c r="P23" i="8" s="1"/>
  <c r="Q69" i="16"/>
  <c r="P13" i="8" s="1"/>
  <c r="Q134" i="16"/>
  <c r="Q72" i="16"/>
  <c r="Q11" i="7"/>
  <c r="O85" i="16"/>
  <c r="P38" i="16"/>
  <c r="Q48" i="16"/>
  <c r="Q49" i="16" s="1"/>
  <c r="J28" i="15"/>
  <c r="J41" i="15" s="1"/>
  <c r="J145" i="16"/>
  <c r="I19" i="8" s="1"/>
  <c r="L20" i="7"/>
  <c r="I20" i="9"/>
  <c r="J60" i="16" s="1"/>
  <c r="M52" i="16"/>
  <c r="M18" i="7" s="1"/>
  <c r="N12" i="16"/>
  <c r="J103" i="16"/>
  <c r="J102" i="16" s="1"/>
  <c r="L5" i="7"/>
  <c r="L6" i="7" s="1"/>
  <c r="L72" i="16"/>
  <c r="L99" i="16" s="1"/>
  <c r="I21" i="8"/>
  <c r="K148" i="16"/>
  <c r="K117" i="16" s="1"/>
  <c r="K32" i="15" s="1"/>
  <c r="L78" i="16"/>
  <c r="K23" i="8" s="1"/>
  <c r="L69" i="16"/>
  <c r="K13" i="8" s="1"/>
  <c r="K28" i="9"/>
  <c r="L61" i="16" s="1"/>
  <c r="L87" i="16"/>
  <c r="L48" i="16"/>
  <c r="L49" i="16" s="1"/>
  <c r="L134" i="16"/>
  <c r="L35" i="15" s="1"/>
  <c r="M44" i="16"/>
  <c r="M8" i="7" s="1"/>
  <c r="M37" i="16"/>
  <c r="M39" i="16" s="1"/>
  <c r="L90" i="16"/>
  <c r="K36" i="8" s="1"/>
  <c r="K37" i="8" s="1"/>
  <c r="M46" i="16"/>
  <c r="M9" i="7" s="1"/>
  <c r="M42" i="16"/>
  <c r="M4" i="7"/>
  <c r="L8" i="9" s="1"/>
  <c r="L26" i="9" s="1"/>
  <c r="L136" i="16"/>
  <c r="L36" i="15" s="1"/>
  <c r="L66" i="16"/>
  <c r="K14" i="8" s="1"/>
  <c r="L97" i="16" s="1"/>
  <c r="L35" i="8"/>
  <c r="L11" i="7"/>
  <c r="L84" i="16" s="1"/>
  <c r="K32" i="8" s="1"/>
  <c r="L104" i="16" s="1"/>
  <c r="L75" i="16"/>
  <c r="K15" i="8" s="1"/>
  <c r="L98" i="16" s="1"/>
  <c r="O76" i="16"/>
  <c r="M17" i="7"/>
  <c r="N161" i="16"/>
  <c r="N91" i="16"/>
  <c r="N67" i="16"/>
  <c r="D32" i="9"/>
  <c r="G32" i="9"/>
  <c r="F32" i="9"/>
  <c r="J30" i="7" l="1"/>
  <c r="U6" i="17" s="1"/>
  <c r="R52" i="16"/>
  <c r="R18" i="7" s="1"/>
  <c r="R12" i="16"/>
  <c r="R44" i="16"/>
  <c r="R8" i="7" s="1"/>
  <c r="R46" i="16"/>
  <c r="R9" i="7" s="1"/>
  <c r="R4" i="7"/>
  <c r="R42" i="16"/>
  <c r="P31" i="8"/>
  <c r="Q105" i="16"/>
  <c r="L95" i="16"/>
  <c r="P28" i="9"/>
  <c r="Q61" i="16" s="1"/>
  <c r="J30" i="15"/>
  <c r="Q143" i="16"/>
  <c r="Q35" i="15"/>
  <c r="P14" i="9"/>
  <c r="Q149" i="16"/>
  <c r="Q36" i="15"/>
  <c r="P15" i="9"/>
  <c r="P7" i="9"/>
  <c r="R125" i="16"/>
  <c r="P85" i="16"/>
  <c r="Q85" i="16" s="1"/>
  <c r="Q38" i="16"/>
  <c r="Q37" i="16" s="1"/>
  <c r="K142" i="16"/>
  <c r="K113" i="16" s="1"/>
  <c r="K144" i="16" s="1"/>
  <c r="I25" i="8"/>
  <c r="M20" i="7"/>
  <c r="N52" i="16"/>
  <c r="N18" i="7" s="1"/>
  <c r="O12" i="16"/>
  <c r="L81" i="16"/>
  <c r="K30" i="8" s="1"/>
  <c r="L103" i="16" s="1"/>
  <c r="L102" i="16" s="1"/>
  <c r="K14" i="9"/>
  <c r="J6" i="9"/>
  <c r="K150" i="16"/>
  <c r="L143" i="16"/>
  <c r="L28" i="9"/>
  <c r="M61" i="16" s="1"/>
  <c r="M48" i="16"/>
  <c r="M49" i="16" s="1"/>
  <c r="M5" i="7"/>
  <c r="M6" i="7" s="1"/>
  <c r="M7" i="7"/>
  <c r="M75" i="16" s="1"/>
  <c r="L15" i="8" s="1"/>
  <c r="M98" i="16" s="1"/>
  <c r="N37" i="16"/>
  <c r="N39" i="16" s="1"/>
  <c r="M134" i="16"/>
  <c r="M35" i="15" s="1"/>
  <c r="M136" i="16"/>
  <c r="M36" i="15" s="1"/>
  <c r="M66" i="16"/>
  <c r="L14" i="8" s="1"/>
  <c r="M97" i="16" s="1"/>
  <c r="M78" i="16"/>
  <c r="L23" i="8" s="1"/>
  <c r="M69" i="16"/>
  <c r="L13" i="8" s="1"/>
  <c r="M72" i="16"/>
  <c r="M99" i="16" s="1"/>
  <c r="M87" i="16"/>
  <c r="K15" i="9"/>
  <c r="L149" i="16"/>
  <c r="M90" i="16"/>
  <c r="L36" i="8" s="1"/>
  <c r="L37" i="8" s="1"/>
  <c r="N44" i="16"/>
  <c r="N8" i="7" s="1"/>
  <c r="N4" i="7"/>
  <c r="N46" i="16"/>
  <c r="N9" i="7" s="1"/>
  <c r="N42" i="16"/>
  <c r="N7" i="7" s="1"/>
  <c r="L12" i="7"/>
  <c r="L22" i="7" s="1"/>
  <c r="L28" i="7" s="1"/>
  <c r="N164" i="16"/>
  <c r="P76" i="16"/>
  <c r="Q76" i="16" s="1"/>
  <c r="O91" i="16"/>
  <c r="O67" i="16"/>
  <c r="I4" i="9" l="1"/>
  <c r="J156" i="16"/>
  <c r="J158" i="16" s="1"/>
  <c r="I43" i="8" s="1"/>
  <c r="I45" i="8" s="1"/>
  <c r="I47" i="8" s="1"/>
  <c r="R48" i="16"/>
  <c r="R49" i="16" s="1"/>
  <c r="R7" i="7"/>
  <c r="R11" i="7" s="1"/>
  <c r="G68" i="15"/>
  <c r="G69" i="15" s="1"/>
  <c r="G70" i="15" s="1"/>
  <c r="R69" i="16"/>
  <c r="Q13" i="8" s="1"/>
  <c r="R72" i="16"/>
  <c r="R134" i="16"/>
  <c r="R136" i="16"/>
  <c r="Q8" i="9"/>
  <c r="Q26" i="9" s="1"/>
  <c r="Q28" i="9" s="1"/>
  <c r="R61" i="16" s="1"/>
  <c r="R87" i="16"/>
  <c r="R78" i="16"/>
  <c r="Q23" i="8" s="1"/>
  <c r="J5" i="9"/>
  <c r="M95" i="16"/>
  <c r="M8" i="9"/>
  <c r="M26" i="9" s="1"/>
  <c r="Q7" i="9"/>
  <c r="P20" i="9"/>
  <c r="Q60" i="16" s="1"/>
  <c r="Q39" i="16"/>
  <c r="Q5" i="7"/>
  <c r="R76" i="16"/>
  <c r="Q75" i="16"/>
  <c r="P15" i="8" s="1"/>
  <c r="Q98" i="16" s="1"/>
  <c r="R85" i="16"/>
  <c r="Q84" i="16"/>
  <c r="P32" i="8" s="1"/>
  <c r="Q104" i="16" s="1"/>
  <c r="R38" i="16"/>
  <c r="R37" i="16" s="1"/>
  <c r="K31" i="15"/>
  <c r="K33" i="8"/>
  <c r="K39" i="8" s="1"/>
  <c r="O42" i="16"/>
  <c r="O7" i="7" s="1"/>
  <c r="K20" i="9"/>
  <c r="L60" i="16" s="1"/>
  <c r="M81" i="16"/>
  <c r="L30" i="8" s="1"/>
  <c r="M103" i="16" s="1"/>
  <c r="M11" i="7"/>
  <c r="M84" i="16" s="1"/>
  <c r="L32" i="8" s="1"/>
  <c r="M104" i="16" s="1"/>
  <c r="O4" i="7"/>
  <c r="M143" i="16"/>
  <c r="N5" i="7"/>
  <c r="N81" i="16" s="1"/>
  <c r="M30" i="8" s="1"/>
  <c r="N103" i="16" s="1"/>
  <c r="N78" i="16"/>
  <c r="M23" i="8" s="1"/>
  <c r="N66" i="16"/>
  <c r="M14" i="8" s="1"/>
  <c r="N97" i="16" s="1"/>
  <c r="L14" i="9"/>
  <c r="N90" i="16"/>
  <c r="M36" i="8" s="1"/>
  <c r="O52" i="16"/>
  <c r="O18" i="7" s="1"/>
  <c r="O37" i="16"/>
  <c r="O5" i="7" s="1"/>
  <c r="O46" i="16"/>
  <c r="O9" i="7" s="1"/>
  <c r="O44" i="16"/>
  <c r="O8" i="7" s="1"/>
  <c r="M149" i="16"/>
  <c r="N134" i="16"/>
  <c r="N35" i="15" s="1"/>
  <c r="N136" i="16"/>
  <c r="N36" i="15" s="1"/>
  <c r="L15" i="9"/>
  <c r="N87" i="16"/>
  <c r="L108" i="16"/>
  <c r="L28" i="15"/>
  <c r="N69" i="16"/>
  <c r="M13" i="8" s="1"/>
  <c r="N48" i="16"/>
  <c r="N49" i="16" s="1"/>
  <c r="N72" i="16"/>
  <c r="N99" i="16" s="1"/>
  <c r="N166" i="16"/>
  <c r="N17" i="7" s="1"/>
  <c r="N20" i="7" s="1"/>
  <c r="M35" i="8"/>
  <c r="O161" i="16"/>
  <c r="O164" i="16" s="1"/>
  <c r="L29" i="7"/>
  <c r="L30" i="7" s="1"/>
  <c r="N11" i="7"/>
  <c r="N84" i="16" s="1"/>
  <c r="M32" i="8" s="1"/>
  <c r="N104" i="16" s="1"/>
  <c r="N75" i="16"/>
  <c r="M15" i="8" s="1"/>
  <c r="N98" i="16" s="1"/>
  <c r="P91" i="16"/>
  <c r="Q91" i="16" s="1"/>
  <c r="P67" i="16"/>
  <c r="Q67" i="16" s="1"/>
  <c r="K155" i="16" l="1"/>
  <c r="R84" i="16"/>
  <c r="Q32" i="8" s="1"/>
  <c r="R104" i="16" s="1"/>
  <c r="R143" i="16"/>
  <c r="R35" i="15"/>
  <c r="Q14" i="9"/>
  <c r="R36" i="15"/>
  <c r="R149" i="16"/>
  <c r="Q15" i="9"/>
  <c r="N95" i="16"/>
  <c r="L30" i="15"/>
  <c r="N8" i="9"/>
  <c r="Q81" i="16"/>
  <c r="P30" i="8" s="1"/>
  <c r="Q6" i="7"/>
  <c r="Q12" i="7" s="1"/>
  <c r="Q28" i="15" s="1"/>
  <c r="N35" i="8"/>
  <c r="P161" i="16"/>
  <c r="P164" i="16" s="1"/>
  <c r="R39" i="16"/>
  <c r="R5" i="7"/>
  <c r="R67" i="16"/>
  <c r="Q66" i="16"/>
  <c r="P14" i="8" s="1"/>
  <c r="Q97" i="16" s="1"/>
  <c r="Q95" i="16" s="1"/>
  <c r="R91" i="16"/>
  <c r="Q90" i="16"/>
  <c r="P36" i="8" s="1"/>
  <c r="R75" i="16"/>
  <c r="Q15" i="8" s="1"/>
  <c r="R98" i="16" s="1"/>
  <c r="M28" i="9"/>
  <c r="N61" i="16" s="1"/>
  <c r="O87" i="16"/>
  <c r="O136" i="16"/>
  <c r="O36" i="15" s="1"/>
  <c r="O134" i="16"/>
  <c r="O35" i="15" s="1"/>
  <c r="O66" i="16"/>
  <c r="N14" i="8" s="1"/>
  <c r="O97" i="16" s="1"/>
  <c r="O69" i="16"/>
  <c r="N13" i="8" s="1"/>
  <c r="O78" i="16"/>
  <c r="N23" i="8" s="1"/>
  <c r="O72" i="16"/>
  <c r="O99" i="16" s="1"/>
  <c r="M12" i="7"/>
  <c r="M22" i="7" s="1"/>
  <c r="M28" i="7" s="1"/>
  <c r="P52" i="16"/>
  <c r="P18" i="7" s="1"/>
  <c r="O90" i="16"/>
  <c r="N36" i="8" s="1"/>
  <c r="M102" i="16"/>
  <c r="M108" i="16" s="1"/>
  <c r="M109" i="16" s="1"/>
  <c r="L10" i="9" s="1"/>
  <c r="L33" i="8"/>
  <c r="L39" i="8" s="1"/>
  <c r="P37" i="16"/>
  <c r="P39" i="16" s="1"/>
  <c r="N6" i="7"/>
  <c r="N12" i="7" s="1"/>
  <c r="P42" i="16"/>
  <c r="P7" i="7" s="1"/>
  <c r="P75" i="16" s="1"/>
  <c r="P46" i="16"/>
  <c r="P9" i="7" s="1"/>
  <c r="P44" i="16"/>
  <c r="P8" i="7" s="1"/>
  <c r="P4" i="7"/>
  <c r="M37" i="8"/>
  <c r="L20" i="9"/>
  <c r="M60" i="16" s="1"/>
  <c r="O39" i="16"/>
  <c r="N143" i="16"/>
  <c r="O48" i="16"/>
  <c r="O49" i="16" s="1"/>
  <c r="M15" i="9"/>
  <c r="N149" i="16"/>
  <c r="M14" i="9"/>
  <c r="N102" i="16"/>
  <c r="K4" i="9"/>
  <c r="L156" i="16"/>
  <c r="O11" i="7"/>
  <c r="O84" i="16" s="1"/>
  <c r="N32" i="8" s="1"/>
  <c r="O104" i="16" s="1"/>
  <c r="O75" i="16"/>
  <c r="N15" i="8" s="1"/>
  <c r="O98" i="16" s="1"/>
  <c r="M33" i="8"/>
  <c r="O166" i="16"/>
  <c r="O17" i="7" s="1"/>
  <c r="O20" i="7" s="1"/>
  <c r="O6" i="7"/>
  <c r="O81" i="16"/>
  <c r="N30" i="8" s="1"/>
  <c r="Q20" i="9" l="1"/>
  <c r="R60" i="16" s="1"/>
  <c r="N26" i="9"/>
  <c r="Q30" i="15"/>
  <c r="O8" i="9"/>
  <c r="O26" i="9" s="1"/>
  <c r="Q103" i="16"/>
  <c r="Q102" i="16" s="1"/>
  <c r="Q108" i="16" s="1"/>
  <c r="P33" i="8"/>
  <c r="Q161" i="16"/>
  <c r="Q164" i="16" s="1"/>
  <c r="P166" i="16"/>
  <c r="P17" i="7" s="1"/>
  <c r="P20" i="7" s="1"/>
  <c r="N37" i="8"/>
  <c r="R81" i="16"/>
  <c r="Q30" i="8" s="1"/>
  <c r="R6" i="7"/>
  <c r="R12" i="7" s="1"/>
  <c r="R28" i="15" s="1"/>
  <c r="R66" i="16"/>
  <c r="Q14" i="8" s="1"/>
  <c r="R97" i="16" s="1"/>
  <c r="R95" i="16" s="1"/>
  <c r="R90" i="16"/>
  <c r="Q36" i="8" s="1"/>
  <c r="N15" i="9"/>
  <c r="O143" i="16"/>
  <c r="O149" i="16"/>
  <c r="N14" i="9"/>
  <c r="O95" i="16"/>
  <c r="M28" i="15"/>
  <c r="P5" i="7"/>
  <c r="P6" i="7" s="1"/>
  <c r="N108" i="16"/>
  <c r="N109" i="16" s="1"/>
  <c r="N34" i="15" s="1"/>
  <c r="P134" i="16"/>
  <c r="P35" i="15" s="1"/>
  <c r="P72" i="16"/>
  <c r="P99" i="16" s="1"/>
  <c r="P87" i="16"/>
  <c r="P90" i="16"/>
  <c r="O36" i="8" s="1"/>
  <c r="P136" i="16"/>
  <c r="P36" i="15" s="1"/>
  <c r="P66" i="16"/>
  <c r="O14" i="8" s="1"/>
  <c r="P97" i="16" s="1"/>
  <c r="P78" i="16"/>
  <c r="O23" i="8" s="1"/>
  <c r="P48" i="16"/>
  <c r="P49" i="16" s="1"/>
  <c r="M39" i="8"/>
  <c r="M20" i="9"/>
  <c r="N60" i="16" s="1"/>
  <c r="P69" i="16"/>
  <c r="O13" i="8" s="1"/>
  <c r="M34" i="15"/>
  <c r="O12" i="7"/>
  <c r="O28" i="15" s="1"/>
  <c r="O35" i="8"/>
  <c r="M29" i="7"/>
  <c r="M30" i="7" s="1"/>
  <c r="N22" i="7"/>
  <c r="N28" i="7" s="1"/>
  <c r="N28" i="15"/>
  <c r="N33" i="8"/>
  <c r="O103" i="16"/>
  <c r="O102" i="16" s="1"/>
  <c r="P11" i="7"/>
  <c r="O15" i="8"/>
  <c r="O37" i="8" l="1"/>
  <c r="O28" i="9"/>
  <c r="P61" i="16" s="1"/>
  <c r="N28" i="9"/>
  <c r="O61" i="16" s="1"/>
  <c r="M30" i="15"/>
  <c r="R30" i="15"/>
  <c r="O30" i="15"/>
  <c r="N30" i="15"/>
  <c r="R103" i="16"/>
  <c r="R102" i="16" s="1"/>
  <c r="R108" i="16" s="1"/>
  <c r="R109" i="16" s="1"/>
  <c r="Q33" i="8"/>
  <c r="R161" i="16"/>
  <c r="R164" i="16" s="1"/>
  <c r="P35" i="8"/>
  <c r="P37" i="8" s="1"/>
  <c r="Q166" i="16"/>
  <c r="Q17" i="7" s="1"/>
  <c r="Q20" i="7" s="1"/>
  <c r="Q22" i="7" s="1"/>
  <c r="Q28" i="7" s="1"/>
  <c r="Q29" i="7" s="1"/>
  <c r="Q30" i="7" s="1"/>
  <c r="O108" i="16"/>
  <c r="N39" i="8"/>
  <c r="P84" i="16"/>
  <c r="O32" i="8" s="1"/>
  <c r="P104" i="16" s="1"/>
  <c r="N20" i="9"/>
  <c r="O60" i="16" s="1"/>
  <c r="M10" i="9"/>
  <c r="P81" i="16"/>
  <c r="O30" i="8" s="1"/>
  <c r="P149" i="16"/>
  <c r="O15" i="9"/>
  <c r="P143" i="16"/>
  <c r="O14" i="9"/>
  <c r="O22" i="7"/>
  <c r="O28" i="7" s="1"/>
  <c r="O29" i="7" s="1"/>
  <c r="O30" i="7" s="1"/>
  <c r="P12" i="7"/>
  <c r="L4" i="9"/>
  <c r="M156" i="16"/>
  <c r="N29" i="7"/>
  <c r="N30" i="7" s="1"/>
  <c r="P98" i="16"/>
  <c r="P95" i="16" s="1"/>
  <c r="R34" i="15" l="1"/>
  <c r="Q10" i="9"/>
  <c r="O109" i="16"/>
  <c r="N10" i="9" s="1"/>
  <c r="P4" i="9"/>
  <c r="Q156" i="16"/>
  <c r="P39" i="8"/>
  <c r="R166" i="16"/>
  <c r="R17" i="7" s="1"/>
  <c r="R20" i="7" s="1"/>
  <c r="R22" i="7" s="1"/>
  <c r="R28" i="7" s="1"/>
  <c r="Q35" i="8"/>
  <c r="Q37" i="8" s="1"/>
  <c r="P28" i="15"/>
  <c r="P22" i="7"/>
  <c r="P28" i="7" s="1"/>
  <c r="P29" i="7" s="1"/>
  <c r="P30" i="7" s="1"/>
  <c r="O33" i="8"/>
  <c r="O39" i="8" s="1"/>
  <c r="O20" i="9"/>
  <c r="P60" i="16" s="1"/>
  <c r="P103" i="16"/>
  <c r="P102" i="16" s="1"/>
  <c r="P108" i="16" s="1"/>
  <c r="O156" i="16"/>
  <c r="N4" i="9"/>
  <c r="M4" i="9"/>
  <c r="N156" i="16"/>
  <c r="O34" i="15" l="1"/>
  <c r="P30" i="15"/>
  <c r="Q39" i="8"/>
  <c r="R29" i="7"/>
  <c r="R30" i="7" s="1"/>
  <c r="P156" i="16"/>
  <c r="O4" i="9"/>
  <c r="Q4" i="9" l="1"/>
  <c r="R156" i="16"/>
  <c r="Q109" i="16"/>
  <c r="P109" i="16"/>
  <c r="P34" i="15" l="1"/>
  <c r="O10" i="9"/>
  <c r="Q34" i="15"/>
  <c r="P10" i="9"/>
  <c r="J99" i="16" l="1"/>
  <c r="J95" i="16" s="1"/>
  <c r="J108" i="16" s="1"/>
  <c r="J109" i="16" l="1"/>
  <c r="I124" i="16"/>
  <c r="J126" i="16"/>
  <c r="K123" i="16" s="1"/>
  <c r="I129" i="16"/>
  <c r="I10" i="9" l="1"/>
  <c r="I11" i="9" s="1"/>
  <c r="J34" i="15"/>
  <c r="J37" i="15" s="1"/>
  <c r="J40" i="15" s="1"/>
  <c r="K126" i="16"/>
  <c r="L123" i="16" s="1"/>
  <c r="J124" i="16"/>
  <c r="J59" i="16" l="1"/>
  <c r="J62" i="16" s="1"/>
  <c r="K58" i="16" s="1"/>
  <c r="I32" i="9"/>
  <c r="I11" i="8" s="1"/>
  <c r="K124" i="16"/>
  <c r="L126" i="16"/>
  <c r="M123" i="16" s="1"/>
  <c r="L124" i="16" l="1"/>
  <c r="M126" i="16"/>
  <c r="N123" i="16" s="1"/>
  <c r="N126" i="16" l="1"/>
  <c r="O123" i="16" s="1"/>
  <c r="M124" i="16"/>
  <c r="N124" i="16" l="1"/>
  <c r="O126" i="16"/>
  <c r="P126" i="16" l="1"/>
  <c r="P123" i="16"/>
  <c r="O124" i="16"/>
  <c r="Q126" i="16" l="1"/>
  <c r="P124" i="16"/>
  <c r="Q123" i="16"/>
  <c r="R123" i="16" l="1"/>
  <c r="Q124" i="16"/>
  <c r="R126" i="16"/>
  <c r="R124" i="16" l="1"/>
  <c r="I17" i="8" l="1"/>
  <c r="I27" i="8" s="1"/>
  <c r="I9" i="8" l="1"/>
  <c r="K99" i="16"/>
  <c r="J17" i="16"/>
  <c r="K11" i="16" s="1"/>
  <c r="K12" i="16" s="1"/>
  <c r="L12" i="16" l="1"/>
  <c r="K44" i="16"/>
  <c r="K8" i="7" s="1"/>
  <c r="K52" i="16"/>
  <c r="K18" i="7" s="1"/>
  <c r="K20" i="7" s="1"/>
  <c r="K37" i="16"/>
  <c r="K42" i="16"/>
  <c r="K4" i="7"/>
  <c r="K46" i="16"/>
  <c r="K9" i="7" s="1"/>
  <c r="K66" i="16" l="1"/>
  <c r="J14" i="8" s="1"/>
  <c r="K97" i="16" s="1"/>
  <c r="J8" i="9"/>
  <c r="K134" i="16"/>
  <c r="K136" i="16"/>
  <c r="K69" i="16"/>
  <c r="J13" i="8" s="1"/>
  <c r="K72" i="16"/>
  <c r="K87" i="16"/>
  <c r="K90" i="16"/>
  <c r="J36" i="8" s="1"/>
  <c r="J37" i="8" s="1"/>
  <c r="K78" i="16"/>
  <c r="J23" i="8" s="1"/>
  <c r="K7" i="7"/>
  <c r="K75" i="16" s="1"/>
  <c r="J15" i="8" s="1"/>
  <c r="K98" i="16" s="1"/>
  <c r="K48" i="16"/>
  <c r="K49" i="16" s="1"/>
  <c r="K5" i="7"/>
  <c r="K39" i="16"/>
  <c r="K11" i="7" l="1"/>
  <c r="K84" i="16" s="1"/>
  <c r="J32" i="8" s="1"/>
  <c r="K104" i="16" s="1"/>
  <c r="K81" i="16"/>
  <c r="J30" i="8" s="1"/>
  <c r="K6" i="7"/>
  <c r="K149" i="16"/>
  <c r="K151" i="16" s="1"/>
  <c r="J15" i="9"/>
  <c r="K36" i="15"/>
  <c r="K143" i="16"/>
  <c r="K145" i="16" s="1"/>
  <c r="J14" i="9"/>
  <c r="K35" i="15"/>
  <c r="J41" i="8"/>
  <c r="J26" i="9"/>
  <c r="K95" i="16"/>
  <c r="K12" i="7" l="1"/>
  <c r="K28" i="15" s="1"/>
  <c r="J20" i="9"/>
  <c r="K60" i="16" s="1"/>
  <c r="J42" i="8"/>
  <c r="K42" i="8" s="1"/>
  <c r="L42" i="8" s="1"/>
  <c r="M42" i="8" s="1"/>
  <c r="N42" i="8" s="1"/>
  <c r="O42" i="8" s="1"/>
  <c r="P42" i="8" s="1"/>
  <c r="Q42" i="8" s="1"/>
  <c r="J28" i="9"/>
  <c r="K61" i="16" s="1"/>
  <c r="K41" i="8"/>
  <c r="L142" i="16"/>
  <c r="J19" i="8"/>
  <c r="L148" i="16"/>
  <c r="J21" i="8"/>
  <c r="K103" i="16"/>
  <c r="J33" i="8"/>
  <c r="K22" i="7" l="1"/>
  <c r="K28" i="7" s="1"/>
  <c r="K29" i="7" s="1"/>
  <c r="K30" i="7" s="1"/>
  <c r="K102" i="16"/>
  <c r="K108" i="16" s="1"/>
  <c r="K109" i="16" s="1"/>
  <c r="J39" i="8"/>
  <c r="K30" i="15"/>
  <c r="K41" i="15"/>
  <c r="L117" i="16"/>
  <c r="J25" i="8"/>
  <c r="L113" i="16"/>
  <c r="L41" i="8"/>
  <c r="L109" i="16" l="1"/>
  <c r="K10" i="9" s="1"/>
  <c r="M41" i="8"/>
  <c r="K5" i="9"/>
  <c r="L31" i="15"/>
  <c r="L144" i="16"/>
  <c r="L145" i="16" s="1"/>
  <c r="K6" i="9"/>
  <c r="L150" i="16"/>
  <c r="L151" i="16" s="1"/>
  <c r="L32" i="15"/>
  <c r="J4" i="9"/>
  <c r="K156" i="16"/>
  <c r="K158" i="16" s="1"/>
  <c r="K34" i="15"/>
  <c r="K37" i="15" s="1"/>
  <c r="K40" i="15" s="1"/>
  <c r="J10" i="9"/>
  <c r="L34" i="15" l="1"/>
  <c r="L37" i="15" s="1"/>
  <c r="L40" i="15" s="1"/>
  <c r="L155" i="16"/>
  <c r="L158" i="16" s="1"/>
  <c r="J43" i="8"/>
  <c r="J45" i="8" s="1"/>
  <c r="J47" i="8" s="1"/>
  <c r="J11" i="9"/>
  <c r="M148" i="16"/>
  <c r="K21" i="8"/>
  <c r="K19" i="8"/>
  <c r="M142" i="16"/>
  <c r="L41" i="15"/>
  <c r="K11" i="9"/>
  <c r="N41" i="8"/>
  <c r="K25" i="8" l="1"/>
  <c r="O41" i="8"/>
  <c r="L59" i="16"/>
  <c r="K32" i="9"/>
  <c r="M113" i="16"/>
  <c r="M117" i="16"/>
  <c r="J32" i="9"/>
  <c r="J11" i="8" s="1"/>
  <c r="K59" i="16"/>
  <c r="K62" i="16" s="1"/>
  <c r="L58" i="16" s="1"/>
  <c r="M155" i="16"/>
  <c r="M158" i="16" s="1"/>
  <c r="K43" i="8"/>
  <c r="K45" i="8" s="1"/>
  <c r="K47" i="8" s="1"/>
  <c r="L62" i="16" l="1"/>
  <c r="M58" i="16" s="1"/>
  <c r="N155" i="16"/>
  <c r="N158" i="16" s="1"/>
  <c r="L43" i="8"/>
  <c r="L45" i="8" s="1"/>
  <c r="L47" i="8" s="1"/>
  <c r="J17" i="8"/>
  <c r="J27" i="8" s="1"/>
  <c r="K11" i="8"/>
  <c r="L6" i="9"/>
  <c r="M150" i="16"/>
  <c r="M151" i="16" s="1"/>
  <c r="M32" i="15"/>
  <c r="L5" i="9"/>
  <c r="M144" i="16"/>
  <c r="M145" i="16" s="1"/>
  <c r="M31" i="15"/>
  <c r="P41" i="8"/>
  <c r="L11" i="9" l="1"/>
  <c r="M59" i="16" s="1"/>
  <c r="M62" i="16" s="1"/>
  <c r="N58" i="16" s="1"/>
  <c r="Q41" i="8"/>
  <c r="M37" i="15"/>
  <c r="M40" i="15" s="1"/>
  <c r="M41" i="15"/>
  <c r="L19" i="8"/>
  <c r="N142" i="16"/>
  <c r="N148" i="16"/>
  <c r="L21" i="8"/>
  <c r="K17" i="8"/>
  <c r="K27" i="8" s="1"/>
  <c r="O155" i="16"/>
  <c r="O158" i="16" s="1"/>
  <c r="M43" i="8"/>
  <c r="M45" i="8" s="1"/>
  <c r="M47" i="8" s="1"/>
  <c r="L32" i="9" l="1"/>
  <c r="L11" i="8" s="1"/>
  <c r="L17" i="8" s="1"/>
  <c r="P155" i="16"/>
  <c r="P158" i="16" s="1"/>
  <c r="N43" i="8"/>
  <c r="N45" i="8" s="1"/>
  <c r="N47" i="8" s="1"/>
  <c r="N117" i="16"/>
  <c r="N113" i="16"/>
  <c r="L25" i="8"/>
  <c r="M5" i="9" l="1"/>
  <c r="N144" i="16"/>
  <c r="N145" i="16" s="1"/>
  <c r="N31" i="15"/>
  <c r="M6" i="9"/>
  <c r="N150" i="16"/>
  <c r="N151" i="16" s="1"/>
  <c r="N32" i="15"/>
  <c r="L27" i="8"/>
  <c r="Q155" i="16"/>
  <c r="Q158" i="16" s="1"/>
  <c r="O43" i="8"/>
  <c r="O45" i="8" s="1"/>
  <c r="O47" i="8" s="1"/>
  <c r="R155" i="16" l="1"/>
  <c r="R158" i="16" s="1"/>
  <c r="Q43" i="8" s="1"/>
  <c r="Q45" i="8" s="1"/>
  <c r="Q47" i="8" s="1"/>
  <c r="P43" i="8"/>
  <c r="P45" i="8" s="1"/>
  <c r="P47" i="8" s="1"/>
  <c r="O148" i="16"/>
  <c r="M21" i="8"/>
  <c r="N41" i="15"/>
  <c r="N37" i="15"/>
  <c r="N40" i="15" s="1"/>
  <c r="M19" i="8"/>
  <c r="O142" i="16"/>
  <c r="M11" i="9"/>
  <c r="M25" i="8" l="1"/>
  <c r="N59" i="16"/>
  <c r="N62" i="16" s="1"/>
  <c r="O58" i="16" s="1"/>
  <c r="M32" i="9"/>
  <c r="M11" i="8" s="1"/>
  <c r="O113" i="16"/>
  <c r="O117" i="16"/>
  <c r="N6" i="9" l="1"/>
  <c r="O150" i="16"/>
  <c r="O151" i="16" s="1"/>
  <c r="O32" i="15"/>
  <c r="N5" i="9"/>
  <c r="O144" i="16"/>
  <c r="O145" i="16" s="1"/>
  <c r="O31" i="15"/>
  <c r="M17" i="8"/>
  <c r="M27" i="8" s="1"/>
  <c r="N11" i="9" l="1"/>
  <c r="O59" i="16" s="1"/>
  <c r="O62" i="16" s="1"/>
  <c r="P58" i="16" s="1"/>
  <c r="O37" i="15"/>
  <c r="O40" i="15" s="1"/>
  <c r="O41" i="15"/>
  <c r="N19" i="8"/>
  <c r="P142" i="16"/>
  <c r="P148" i="16"/>
  <c r="N21" i="8"/>
  <c r="N32" i="9" l="1"/>
  <c r="N11" i="8" s="1"/>
  <c r="N17" i="8" s="1"/>
  <c r="P117" i="16"/>
  <c r="P113" i="16"/>
  <c r="N25" i="8"/>
  <c r="O5" i="9" l="1"/>
  <c r="P31" i="15"/>
  <c r="P144" i="16"/>
  <c r="P145" i="16" s="1"/>
  <c r="N27" i="8"/>
  <c r="O6" i="9"/>
  <c r="P150" i="16"/>
  <c r="P151" i="16" s="1"/>
  <c r="P32" i="15"/>
  <c r="Q148" i="16" l="1"/>
  <c r="O21" i="8"/>
  <c r="Q142" i="16"/>
  <c r="O19" i="8"/>
  <c r="P37" i="15"/>
  <c r="P40" i="15" s="1"/>
  <c r="P41" i="15"/>
  <c r="O11" i="9"/>
  <c r="O25" i="8" l="1"/>
  <c r="O32" i="9"/>
  <c r="O11" i="8" s="1"/>
  <c r="P59" i="16"/>
  <c r="P62" i="16" s="1"/>
  <c r="Q58" i="16" s="1"/>
  <c r="Q113" i="16"/>
  <c r="Q117" i="16"/>
  <c r="Q150" i="16" l="1"/>
  <c r="Q151" i="16" s="1"/>
  <c r="P6" i="9"/>
  <c r="Q32" i="15"/>
  <c r="P5" i="9"/>
  <c r="Q31" i="15"/>
  <c r="Q144" i="16"/>
  <c r="Q145" i="16" s="1"/>
  <c r="O17" i="8"/>
  <c r="O27" i="8" s="1"/>
  <c r="P11" i="9" l="1"/>
  <c r="Q59" i="16" s="1"/>
  <c r="Q62" i="16" s="1"/>
  <c r="R58" i="16" s="1"/>
  <c r="R142" i="16"/>
  <c r="P19" i="8"/>
  <c r="Q37" i="15"/>
  <c r="Q40" i="15" s="1"/>
  <c r="Q41" i="15"/>
  <c r="R148" i="16"/>
  <c r="P21" i="8"/>
  <c r="P32" i="9" l="1"/>
  <c r="P11" i="8" s="1"/>
  <c r="P17" i="8" s="1"/>
  <c r="R117" i="16"/>
  <c r="P25" i="8"/>
  <c r="R113" i="16"/>
  <c r="Q5" i="9" l="1"/>
  <c r="R31" i="15"/>
  <c r="R144" i="16"/>
  <c r="R145" i="16" s="1"/>
  <c r="Q19" i="8" s="1"/>
  <c r="P27" i="8"/>
  <c r="R150" i="16"/>
  <c r="R151" i="16" s="1"/>
  <c r="Q21" i="8" s="1"/>
  <c r="Q6" i="9"/>
  <c r="R32" i="15"/>
  <c r="Q25" i="8" l="1"/>
  <c r="R41" i="15"/>
  <c r="G48" i="15" s="1"/>
  <c r="G49" i="15" s="1"/>
  <c r="G50" i="15" s="1"/>
  <c r="R37" i="15"/>
  <c r="C48" i="15" s="1"/>
  <c r="Q11" i="9"/>
  <c r="Q32" i="9" l="1"/>
  <c r="Q11" i="8" s="1"/>
  <c r="Q17" i="8" s="1"/>
  <c r="Q27" i="8" s="1"/>
  <c r="R59" i="16"/>
  <c r="R62" i="16" s="1"/>
  <c r="R40" i="15"/>
  <c r="C50" i="15" s="1"/>
  <c r="C52" i="15" l="1"/>
  <c r="G52" i="15"/>
  <c r="G72" i="15"/>
  <c r="C55" i="15" l="1"/>
  <c r="C57" i="15" s="1"/>
  <c r="C59" i="15" s="1"/>
  <c r="C49" i="15"/>
  <c r="G74" i="15"/>
  <c r="G54" i="15"/>
  <c r="C51" i="15"/>
  <c r="G57" i="15" l="1"/>
  <c r="G59" i="15" s="1"/>
  <c r="G51" i="15"/>
  <c r="G53" i="15"/>
  <c r="G77" i="15"/>
  <c r="G79" i="15" s="1"/>
  <c r="G71" i="15"/>
  <c r="G73" i="15"/>
  <c r="G81" i="15" l="1"/>
  <c r="V10" i="10"/>
  <c r="W10" i="10" s="1"/>
  <c r="S40" i="17"/>
  <c r="G61" i="15"/>
  <c r="V9" i="10"/>
  <c r="W9" i="10" s="1"/>
  <c r="S39" i="17"/>
  <c r="S41" i="17" l="1"/>
  <c r="W19" i="10"/>
  <c r="W21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Aryaan Rajwani</author>
  </authors>
  <commentList>
    <comment ref="J11" authorId="0" shapeId="0" xr:uid="{632B7659-DAC8-4CD3-9480-D035EC06DEF7}">
      <text>
        <r>
          <rPr>
            <sz val="10"/>
            <rFont val="Arial"/>
            <family val="2"/>
          </rPr>
          <t>Aryaan Rajwani:
as per guidance</t>
        </r>
      </text>
    </comment>
    <comment ref="J137" authorId="0" shapeId="0" xr:uid="{AEFCD48E-39DF-40F0-AD2C-CA1F8A0E7F12}">
      <text>
        <r>
          <rPr>
            <b/>
            <sz val="9"/>
            <color indexed="81"/>
            <rFont val="Tahoma"/>
            <family val="2"/>
          </rPr>
          <t>Aryaan Rajwani:</t>
        </r>
        <r>
          <rPr>
            <sz val="9"/>
            <color indexed="81"/>
            <rFont val="Tahoma"/>
            <family val="2"/>
          </rPr>
          <t xml:space="preserve">
years of acq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Aryaan Rajwani</author>
  </authors>
  <commentList>
    <comment ref="I26" authorId="0" shapeId="0" xr:uid="{95E07089-372F-4367-A905-1540AA68A591}">
      <text>
        <r>
          <rPr>
            <b/>
            <sz val="9"/>
            <color indexed="81"/>
            <rFont val="Tahoma"/>
            <family val="2"/>
          </rPr>
          <t>Aryaan Rajwani:</t>
        </r>
        <r>
          <rPr>
            <sz val="9"/>
            <color indexed="81"/>
            <rFont val="Tahoma"/>
            <family val="2"/>
          </rPr>
          <t xml:space="preserve">
M&amp;A expense + restructuring exp for 2025
</t>
        </r>
      </text>
    </comment>
    <comment ref="G29" authorId="0" shapeId="0" xr:uid="{6ACD0385-6725-47ED-899B-7CAA1ED3D536}">
      <text>
        <r>
          <rPr>
            <b/>
            <sz val="9"/>
            <color indexed="81"/>
            <rFont val="Tahoma"/>
            <family val="2"/>
          </rPr>
          <t>Aryaan Rajwani:Why?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Aryaan Rajwani</author>
  </authors>
  <commentList>
    <comment ref="F9" authorId="0" shapeId="0" xr:uid="{68F2DD4D-D5AE-4B20-A422-9B7273414778}">
      <text>
        <r>
          <rPr>
            <b/>
            <sz val="9"/>
            <color indexed="81"/>
            <rFont val="Tahoma"/>
            <family val="2"/>
          </rPr>
          <t>Aryaan Rajwani:</t>
        </r>
        <r>
          <rPr>
            <sz val="9"/>
            <color indexed="81"/>
            <rFont val="Tahoma"/>
            <family val="2"/>
          </rPr>
          <t xml:space="preserve">
one time defferal tax 
</t>
        </r>
      </text>
    </comment>
    <comment ref="H19" authorId="0" shapeId="0" xr:uid="{47D96A67-073A-4786-A123-7DA1A46C4DEF}">
      <text>
        <r>
          <rPr>
            <b/>
            <sz val="9"/>
            <color indexed="81"/>
            <rFont val="Tahoma"/>
            <family val="2"/>
          </rPr>
          <t>Aryaan Rajwani:</t>
        </r>
        <r>
          <rPr>
            <sz val="9"/>
            <color indexed="81"/>
            <rFont val="Tahoma"/>
            <family val="2"/>
          </rPr>
          <t xml:space="preserve">
sale of marketable securities&gt; purchase </t>
        </r>
      </text>
    </comment>
    <comment ref="I26" authorId="0" shapeId="0" xr:uid="{36B16F7D-C9DB-47E6-A97B-33B865946A3E}">
      <text>
        <r>
          <rPr>
            <b/>
            <sz val="9"/>
            <color indexed="81"/>
            <rFont val="Tahoma"/>
            <family val="2"/>
          </rPr>
          <t>Aryaan Rajwani:</t>
        </r>
        <r>
          <rPr>
            <sz val="9"/>
            <color indexed="81"/>
            <rFont val="Tahoma"/>
            <family val="2"/>
          </rPr>
          <t xml:space="preserve">
accelerated purchase plan
</t>
        </r>
      </text>
    </comment>
  </commentList>
</comments>
</file>

<file path=xl/sharedStrings.xml><?xml version="1.0" encoding="utf-8"?>
<sst xmlns="http://schemas.openxmlformats.org/spreadsheetml/2006/main" count="597" uniqueCount="416">
  <si>
    <t>ServiceNow</t>
  </si>
  <si>
    <t>Financial modeling fundamentals</t>
  </si>
  <si>
    <t>Model information</t>
  </si>
  <si>
    <t>Company name</t>
  </si>
  <si>
    <t>Company Ticker</t>
  </si>
  <si>
    <t xml:space="preserve">$NOW </t>
  </si>
  <si>
    <t>Fiscal year ending</t>
  </si>
  <si>
    <t xml:space="preserve">31-Dec </t>
  </si>
  <si>
    <t>Currency</t>
  </si>
  <si>
    <t>USD</t>
  </si>
  <si>
    <t>Units</t>
  </si>
  <si>
    <t>m</t>
  </si>
  <si>
    <t>Analyst name</t>
  </si>
  <si>
    <t>Aryaan Rajwani</t>
  </si>
  <si>
    <t>IMPACT INVESTMENT FUND</t>
  </si>
  <si>
    <t xml:space="preserve">Financial Model </t>
  </si>
  <si>
    <t>Supporting Schedules</t>
  </si>
  <si>
    <t>Years</t>
  </si>
  <si>
    <t>2020A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</si>
  <si>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</si>
  <si>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</si>
  <si>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</si>
  <si>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</si>
  <si>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</si>
  <si>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</si>
  <si>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</si>
  <si>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</si>
  <si>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</si>
  <si>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</si>
  <si>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</si>
  <si>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</si>
  <si>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</si>
  <si>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</si>
  <si>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 xml:space="preserve">Revenue </t>
  </si>
  <si>
    <t>Revenue Growth %</t>
  </si>
  <si>
    <t>crpo</t>
  </si>
  <si>
    <t>crpo growth</t>
  </si>
  <si>
    <t>NNACV ($)</t>
  </si>
  <si>
    <t>% of crpo</t>
  </si>
  <si>
    <t>rpo</t>
  </si>
  <si>
    <t>rpo growth</t>
  </si>
  <si>
    <t>crpo/rpo ratio</t>
  </si>
  <si>
    <t>def rev</t>
  </si>
  <si>
    <t>% of crpo of current year</t>
  </si>
  <si>
    <t>No . Of customers with acv &gt; 1M</t>
  </si>
  <si>
    <t>growth</t>
  </si>
  <si>
    <t>No . Of customers with acv &gt; 5M</t>
  </si>
  <si>
    <t xml:space="preserve">Costs </t>
  </si>
  <si>
    <t xml:space="preserve">  </t>
  </si>
  <si>
    <t>Cost of Revenue</t>
  </si>
  <si>
    <t>hosting services and customer support; (data centre capacity cost, public cloud cost, data connectivity service cost and related expenses</t>
  </si>
  <si>
    <t>% of Revenue</t>
  </si>
  <si>
    <t>0.5% increase followed by trailing 3Y AVG</t>
  </si>
  <si>
    <t>COGS Margin %</t>
  </si>
  <si>
    <t>expected to decrease as public cloud offerings expand and customer support in more regulated areas increase</t>
  </si>
  <si>
    <t>Operating Expenses</t>
  </si>
  <si>
    <t>Selling &amp; Marketing</t>
  </si>
  <si>
    <t>management expects increase in absolute amount to increase while % to rev slightly declining with sales productivity and marketing efficiencies</t>
  </si>
  <si>
    <t>blend of Ai effeciencies and new customer push. At maturity, this % drops as no new customers needed plus AI efficiency</t>
  </si>
  <si>
    <t>General &amp; Administrative</t>
  </si>
  <si>
    <t>management expects absolute amount to decrease in guidance YE 2026. Assuming flat expense amounts</t>
  </si>
  <si>
    <t>internal AI efficiency to decrease G&amp;A blended with a mix of employee headcount increase and termination costs</t>
  </si>
  <si>
    <t>Research &amp; Development</t>
  </si>
  <si>
    <t>flat w rev. declining at maturity</t>
  </si>
  <si>
    <t>Total Operating Expenses</t>
  </si>
  <si>
    <t>Non Operating Income/Expense</t>
  </si>
  <si>
    <t>Interest Income</t>
  </si>
  <si>
    <t xml:space="preserve">Cash Reconciliation </t>
  </si>
  <si>
    <t>Beginning Cash Balance</t>
  </si>
  <si>
    <t>Plus: Cash Flow from Operating Activities</t>
  </si>
  <si>
    <t>Plus: Cash Flow from Investing Activities</t>
  </si>
  <si>
    <t>Plus: Cash Flow from Financing Activities</t>
  </si>
  <si>
    <t>Equals: Ending Cash Balance</t>
  </si>
  <si>
    <t>Other Balance Sheet Assumptions</t>
  </si>
  <si>
    <t>Accounts Rec</t>
  </si>
  <si>
    <t>Accounts Rec as a % of Revenue</t>
  </si>
  <si>
    <t>ST Investments</t>
  </si>
  <si>
    <t>ST Investments as a % of Rev</t>
  </si>
  <si>
    <t>Other ST</t>
  </si>
  <si>
    <t>Other ST as a % of Revenue</t>
  </si>
  <si>
    <t>Prepaid Expenses</t>
  </si>
  <si>
    <t>Prepaid expas a % of Revenue</t>
  </si>
  <si>
    <t>Other Non-Current Assets</t>
  </si>
  <si>
    <t>Accounts Payable</t>
  </si>
  <si>
    <t>% of COGS</t>
  </si>
  <si>
    <t>Other Current Liabilties</t>
  </si>
  <si>
    <t>% of Operating Expenses</t>
  </si>
  <si>
    <t>Deferred Revenue</t>
  </si>
  <si>
    <t>% of Rev</t>
  </si>
  <si>
    <t>Other Non-Current Liabilities</t>
  </si>
  <si>
    <t>% Rev</t>
  </si>
  <si>
    <t xml:space="preserve">Working Capital </t>
  </si>
  <si>
    <t>Current Assets</t>
  </si>
  <si>
    <t>Inventory</t>
  </si>
  <si>
    <t>Accounts &amp; Other Receivables</t>
  </si>
  <si>
    <t>Deferred Commisions</t>
  </si>
  <si>
    <t>Other Currents</t>
  </si>
  <si>
    <t>Less: Current Liabilities</t>
  </si>
  <si>
    <t>Accrued Expenses and OL</t>
  </si>
  <si>
    <t>Current Deferred Rev</t>
  </si>
  <si>
    <t>As a % of Total Def. Revenues</t>
  </si>
  <si>
    <t>Equals: NWC</t>
  </si>
  <si>
    <t>Change in NWC</t>
  </si>
  <si>
    <t xml:space="preserve">Depreciation and Amortization </t>
  </si>
  <si>
    <t xml:space="preserve">Depreciation </t>
  </si>
  <si>
    <t>% of Opening PP&amp;E</t>
  </si>
  <si>
    <t>Amortization of Bal as at Dec 2025</t>
  </si>
  <si>
    <t>Amortization</t>
  </si>
  <si>
    <t>% of Opening Intangible Assets</t>
  </si>
  <si>
    <t xml:space="preserve">Current portion of deferred commsions &amp; Amortization of deferrred commissions </t>
  </si>
  <si>
    <t>Beg curr portion</t>
  </si>
  <si>
    <t>add: new</t>
  </si>
  <si>
    <t>less: amort</t>
  </si>
  <si>
    <t>End: Current Portion of def amortization</t>
  </si>
  <si>
    <t>amortization growth%</t>
  </si>
  <si>
    <t>end as % of beg</t>
  </si>
  <si>
    <t>Capex</t>
  </si>
  <si>
    <t>Capital Expenditures</t>
  </si>
  <si>
    <t>Capital Expenditures of Intangible assets</t>
  </si>
  <si>
    <t>PP&amp;E Schedule (includes intangible assets)</t>
  </si>
  <si>
    <t>Beg. Property, Plant &amp; Equipment</t>
  </si>
  <si>
    <t>Plus: Capex</t>
  </si>
  <si>
    <t>Less: Depreciation</t>
  </si>
  <si>
    <t>Equals: End. Property, Plant &amp; Equipment,net</t>
  </si>
  <si>
    <t>Beg. Intangible Assets</t>
  </si>
  <si>
    <t>Plus: Capex (Acq)</t>
  </si>
  <si>
    <t>Less: Amortization</t>
  </si>
  <si>
    <t>Equals: End: Intenagible Assets,net</t>
  </si>
  <si>
    <t xml:space="preserve">Retained Earnings </t>
  </si>
  <si>
    <t>Opening Retained Earnings</t>
  </si>
  <si>
    <t>Plus: Net Income</t>
  </si>
  <si>
    <t>Less: Dividends Paid</t>
  </si>
  <si>
    <t>-</t>
  </si>
  <si>
    <t>Equals: Closing Retained Earnings</t>
  </si>
  <si>
    <t>Long-term debt</t>
  </si>
  <si>
    <t/>
  </si>
  <si>
    <t>Beginning balance</t>
  </si>
  <si>
    <t>Issuance</t>
  </si>
  <si>
    <t>Repayment</t>
  </si>
  <si>
    <t>Ending balance</t>
  </si>
  <si>
    <t>Interest rate</t>
  </si>
  <si>
    <t>Interest expense</t>
  </si>
  <si>
    <t>Hist.</t>
  </si>
  <si>
    <t>Proj.</t>
  </si>
  <si>
    <t>Income statement</t>
  </si>
  <si>
    <t>Revenue</t>
  </si>
  <si>
    <t>Cost of goods sold</t>
  </si>
  <si>
    <t>Gross Profit</t>
  </si>
  <si>
    <t xml:space="preserve">Selling &amp; Marketing </t>
  </si>
  <si>
    <t>General &amp; Admin</t>
  </si>
  <si>
    <t>R&amp;D</t>
  </si>
  <si>
    <t>Other expense</t>
  </si>
  <si>
    <t>Total Op Exp</t>
  </si>
  <si>
    <t>Operating Income EBIT</t>
  </si>
  <si>
    <t>Notes for reference</t>
  </si>
  <si>
    <t>EBITDA</t>
  </si>
  <si>
    <t xml:space="preserve">Interest Expense </t>
  </si>
  <si>
    <t>Other Non-Op Loss (inc)</t>
  </si>
  <si>
    <t>Non Operating Loss (Inc)</t>
  </si>
  <si>
    <t>Pretax Income</t>
  </si>
  <si>
    <t>M&amp;A expenses</t>
  </si>
  <si>
    <t>Other Abnormal Expenses</t>
  </si>
  <si>
    <t>Abnormal Losses</t>
  </si>
  <si>
    <t>Profit before tax</t>
  </si>
  <si>
    <t>Tax expense</t>
  </si>
  <si>
    <t>Net income</t>
  </si>
  <si>
    <t>x</t>
  </si>
  <si>
    <t>End</t>
  </si>
  <si>
    <t>Balance sheet</t>
  </si>
  <si>
    <t>Cash &amp; Cash Equivalents</t>
  </si>
  <si>
    <t>Cash plug</t>
  </si>
  <si>
    <t>for balancing purposes</t>
  </si>
  <si>
    <t>ST Inv</t>
  </si>
  <si>
    <t>Accounts receivable</t>
  </si>
  <si>
    <t xml:space="preserve">Prepaid expenses </t>
  </si>
  <si>
    <t>Current portion of def commisions, net</t>
  </si>
  <si>
    <t>hardcoded to avoid circular ref</t>
  </si>
  <si>
    <t xml:space="preserve"> Total current assets</t>
  </si>
  <si>
    <t>PPE Net</t>
  </si>
  <si>
    <t>LT Investments</t>
  </si>
  <si>
    <t>Ingantible Assets,net</t>
  </si>
  <si>
    <t>Goodwill</t>
  </si>
  <si>
    <t>Other LT Assets (Deferred tax assets + Deferred commisions + Op Lease + Other)</t>
  </si>
  <si>
    <t xml:space="preserve"> Total non-current assets</t>
  </si>
  <si>
    <t>TOTAL ASSETS</t>
  </si>
  <si>
    <t>Current debt</t>
  </si>
  <si>
    <t>Accounts payable</t>
  </si>
  <si>
    <t>Other current liabilities (acrrued expenses and other)</t>
  </si>
  <si>
    <t xml:space="preserve"> Total current liabilities</t>
  </si>
  <si>
    <t>Long-term debt, net</t>
  </si>
  <si>
    <t>Other long-term liabilities</t>
  </si>
  <si>
    <t xml:space="preserve"> Total non-current liabilities</t>
  </si>
  <si>
    <t>TOTAL LIABILITIES</t>
  </si>
  <si>
    <t>Additional Paid in Capital</t>
  </si>
  <si>
    <t>Treasury Stock</t>
  </si>
  <si>
    <t>RE (accumulated deficit)</t>
  </si>
  <si>
    <t>Other</t>
  </si>
  <si>
    <t>Total Equity</t>
  </si>
  <si>
    <t>TOTAL LIABILITIES &amp; EQUITY</t>
  </si>
  <si>
    <t>Cash flow statement (in millions USD)</t>
  </si>
  <si>
    <t>Net Income</t>
  </si>
  <si>
    <t>Amortization on Assets</t>
  </si>
  <si>
    <t>Amortization of deferred commisions</t>
  </si>
  <si>
    <t>SBC</t>
  </si>
  <si>
    <t>Other Non Cash Items</t>
  </si>
  <si>
    <t>Change in Net Working Capital</t>
  </si>
  <si>
    <t>Cash Flow from Operating Activities</t>
  </si>
  <si>
    <t>Capex on Intangible assets</t>
  </si>
  <si>
    <t>Minority Investments</t>
  </si>
  <si>
    <t>Purchase of strategic investments</t>
  </si>
  <si>
    <t>Purchase of Other Intangibles</t>
  </si>
  <si>
    <t>Other Investing Activities, net</t>
  </si>
  <si>
    <t>Cash Flow from Investing Activities</t>
  </si>
  <si>
    <t>Cash from Debt</t>
  </si>
  <si>
    <t>Repayment of Debt</t>
  </si>
  <si>
    <t>Dividends Paid on Common Stock</t>
  </si>
  <si>
    <t>Proceeds from Employee stock plan</t>
  </si>
  <si>
    <t>Repurchase of Common Stock</t>
  </si>
  <si>
    <t xml:space="preserve">Other Financing Activities </t>
  </si>
  <si>
    <t>taxes paid in settlement of equity awards</t>
  </si>
  <si>
    <t>Cash Flow from Financing Activities</t>
  </si>
  <si>
    <t>Effect of Foreign Exchange Rates</t>
  </si>
  <si>
    <t>Net Change in Cash</t>
  </si>
  <si>
    <t>DCF Valuation</t>
  </si>
  <si>
    <t>Input Assumptions</t>
  </si>
  <si>
    <t>WACC</t>
  </si>
  <si>
    <t>Expected Market Return</t>
  </si>
  <si>
    <t>Risk Free Rate</t>
  </si>
  <si>
    <t>Market Risk Premium</t>
  </si>
  <si>
    <t>Beta</t>
  </si>
  <si>
    <t>Cost of Equity</t>
  </si>
  <si>
    <t>Pre-Tax Cost of Debt</t>
  </si>
  <si>
    <t>Effective Tax Rate</t>
  </si>
  <si>
    <t>After Tax Cost Of Debt</t>
  </si>
  <si>
    <t>Weight of Equity</t>
  </si>
  <si>
    <t>Weight of Debt</t>
  </si>
  <si>
    <t>Unlevered Free Cash Flow Calculation</t>
  </si>
  <si>
    <t>EBIT</t>
  </si>
  <si>
    <t>Times: (1 - Tax Rate)</t>
  </si>
  <si>
    <t xml:space="preserve">Equals: NOPAT </t>
  </si>
  <si>
    <t>Plus: Depreciation</t>
  </si>
  <si>
    <t>Plus: Amortization</t>
  </si>
  <si>
    <t>Plus: Amortization of Commissions</t>
  </si>
  <si>
    <t>Plus: Change In Working Capital</t>
  </si>
  <si>
    <t>Less: Capital Expenditures</t>
  </si>
  <si>
    <t>Less: Capital Expenditures on Intangibles</t>
  </si>
  <si>
    <t>Equals: Unlevered Free Cash Flow</t>
  </si>
  <si>
    <t xml:space="preserve">Discount Period </t>
  </si>
  <si>
    <t>Discount Factor</t>
  </si>
  <si>
    <t>Equals: Present Value of Unlevered Free Cash Flow</t>
  </si>
  <si>
    <t>Forecasted EBITDA</t>
  </si>
  <si>
    <t>Discounted Cash Flow Valuation</t>
  </si>
  <si>
    <t>Perpetuity Growth Method</t>
  </si>
  <si>
    <t>FCFF Fair Value Multiple Method - EV/EBITDA</t>
  </si>
  <si>
    <t>Perpetuity Growth Rate</t>
  </si>
  <si>
    <t>EV/EBITDA Multiple</t>
  </si>
  <si>
    <t>Present Value of Terminal Value</t>
  </si>
  <si>
    <t>Last Forecast EBITDA</t>
  </si>
  <si>
    <t>% of EV</t>
  </si>
  <si>
    <t>Terminal Value</t>
  </si>
  <si>
    <t>Plus: Present Value of Forecast FCF</t>
  </si>
  <si>
    <t>PV of Terminal Value</t>
  </si>
  <si>
    <t>Terminal Value as a % of EV</t>
  </si>
  <si>
    <t>Equals: Enterprise Value</t>
  </si>
  <si>
    <t>PV of Forecast FCF</t>
  </si>
  <si>
    <t>Less: Debt</t>
  </si>
  <si>
    <t>Forecast Period as a % of EV</t>
  </si>
  <si>
    <t>Plus: Cash (as at Valuation Date)</t>
  </si>
  <si>
    <t>Enterprise Value</t>
  </si>
  <si>
    <t>Equals: Equity Value</t>
  </si>
  <si>
    <t>Plus: Cash</t>
  </si>
  <si>
    <t>Divided By: Fully Diluted Shares Outstanding</t>
  </si>
  <si>
    <t>Less: Net Debt (Hardcode as of Valuation Date)</t>
  </si>
  <si>
    <t>Equals: Implied Share Price</t>
  </si>
  <si>
    <t>Equity Value (Market Cap)</t>
  </si>
  <si>
    <t>Current Share Price</t>
  </si>
  <si>
    <t>Fully Diluted Shares Outstanding</t>
  </si>
  <si>
    <t>Implied Upside</t>
  </si>
  <si>
    <t>Fair Value Share Price</t>
  </si>
  <si>
    <t>Upside</t>
  </si>
  <si>
    <t>FCFF Fair Value Multiple Method - EV/Rev</t>
  </si>
  <si>
    <t>EV/Revenue Multiple</t>
  </si>
  <si>
    <t>Last Forecast Revenue</t>
  </si>
  <si>
    <t>Company</t>
  </si>
  <si>
    <t>Column2</t>
  </si>
  <si>
    <t>M.Cap</t>
  </si>
  <si>
    <t>Price</t>
  </si>
  <si>
    <t>NTM EPS</t>
  </si>
  <si>
    <t>Column3</t>
  </si>
  <si>
    <t>NTM NI</t>
  </si>
  <si>
    <t>Rev</t>
  </si>
  <si>
    <t>NTM Rev</t>
  </si>
  <si>
    <t>EV</t>
  </si>
  <si>
    <t>EV/Rev</t>
  </si>
  <si>
    <t>Rev Growth</t>
  </si>
  <si>
    <t>(EV/Rev)/RG%</t>
  </si>
  <si>
    <t>EV4</t>
  </si>
  <si>
    <t>EV/EBITDA</t>
  </si>
  <si>
    <t>M.Cap5</t>
  </si>
  <si>
    <t>FCF</t>
  </si>
  <si>
    <t>P/FCF</t>
  </si>
  <si>
    <t>MSFT</t>
  </si>
  <si>
    <t>Rev G%</t>
  </si>
  <si>
    <t>CY EPS</t>
  </si>
  <si>
    <t>LTM M.Cap</t>
  </si>
  <si>
    <t>NOW</t>
  </si>
  <si>
    <t>Total MSFT</t>
  </si>
  <si>
    <t>Salesforce</t>
  </si>
  <si>
    <t>CRM</t>
  </si>
  <si>
    <t>MSFT P&amp;B Rev</t>
  </si>
  <si>
    <t>Microsoft BP</t>
  </si>
  <si>
    <t>MSFT (PB)</t>
  </si>
  <si>
    <t>% by Rev</t>
  </si>
  <si>
    <t>Atlassian</t>
  </si>
  <si>
    <t>TEAM</t>
  </si>
  <si>
    <t>% by Rev of CC from PB</t>
  </si>
  <si>
    <t>% by Rev of D from PB</t>
  </si>
  <si>
    <t>Total MSFT CCD</t>
  </si>
  <si>
    <t>Commercial prod &amp; cloud</t>
  </si>
  <si>
    <t>High</t>
  </si>
  <si>
    <t>Dynamics</t>
  </si>
  <si>
    <t>Average</t>
  </si>
  <si>
    <t>Weight of CC</t>
  </si>
  <si>
    <t>Median</t>
  </si>
  <si>
    <t>Weight of D</t>
  </si>
  <si>
    <t>Low</t>
  </si>
  <si>
    <t>Comparables Average</t>
  </si>
  <si>
    <t>Implied EV/Rev Multiple</t>
  </si>
  <si>
    <t>Implied Enterprise Value</t>
  </si>
  <si>
    <t>Implied P/E Multiple</t>
  </si>
  <si>
    <t>Net cash</t>
  </si>
  <si>
    <t>Implied Market Value</t>
  </si>
  <si>
    <t>Shares Outstanding</t>
  </si>
  <si>
    <t>Implied Value Per Share</t>
  </si>
  <si>
    <t>Weights</t>
  </si>
  <si>
    <t>Weighted Implied Share Price</t>
  </si>
  <si>
    <t>Current Price</t>
  </si>
  <si>
    <t>Change %</t>
  </si>
  <si>
    <t xml:space="preserve">MSFT NTM EPS </t>
  </si>
  <si>
    <t>MSFT CY EPS</t>
  </si>
  <si>
    <t>MSFT EPS G%</t>
  </si>
  <si>
    <t>B&amp;P ev</t>
  </si>
  <si>
    <t>MSFT EV</t>
  </si>
  <si>
    <t xml:space="preserve">cy eps </t>
  </si>
  <si>
    <t>B&amp;P NTM EPS</t>
  </si>
  <si>
    <t>comm c</t>
  </si>
  <si>
    <t>dyn</t>
  </si>
  <si>
    <t>total</t>
  </si>
  <si>
    <t>B&amp;P price</t>
  </si>
  <si>
    <t>comm</t>
  </si>
  <si>
    <t>B&amp;P EPS g</t>
  </si>
  <si>
    <t>Summary</t>
  </si>
  <si>
    <t>Growth</t>
  </si>
  <si>
    <t>Profitability</t>
  </si>
  <si>
    <t>Valuation</t>
  </si>
  <si>
    <t>Method</t>
  </si>
  <si>
    <t>Implied Share Price</t>
  </si>
  <si>
    <t>Weight (%)</t>
  </si>
  <si>
    <t>Weight ($)</t>
  </si>
  <si>
    <t>%</t>
  </si>
  <si>
    <t>Fair Value Price</t>
  </si>
  <si>
    <t>Weighted Price</t>
  </si>
  <si>
    <t>Comps</t>
  </si>
  <si>
    <t>Asset turnover</t>
  </si>
  <si>
    <t>Credit</t>
  </si>
  <si>
    <t>Implied Price</t>
  </si>
  <si>
    <t>Upside %</t>
  </si>
  <si>
    <t>North America</t>
  </si>
  <si>
    <t>EMEA</t>
  </si>
  <si>
    <t xml:space="preserve">APAC </t>
  </si>
  <si>
    <t>Year</t>
  </si>
  <si>
    <t>Subscription</t>
  </si>
  <si>
    <t>COmps MS</t>
  </si>
  <si>
    <t>Magic Number</t>
  </si>
  <si>
    <t>Salesf</t>
  </si>
  <si>
    <t>Others</t>
  </si>
  <si>
    <t>ORCL</t>
  </si>
  <si>
    <t>SAP</t>
  </si>
  <si>
    <t>WDAY</t>
  </si>
  <si>
    <t>IT Service Management</t>
  </si>
  <si>
    <t>NOW = leader in large enterprise</t>
  </si>
  <si>
    <t xml:space="preserve">TEAM = leader in mid markets </t>
  </si>
  <si>
    <t>Enterprise Resource Management</t>
  </si>
  <si>
    <t>Total</t>
  </si>
  <si>
    <t>Deferred Revenue % of crpo</t>
  </si>
  <si>
    <t>Rule of 50 (%)</t>
  </si>
  <si>
    <t>RPO %</t>
  </si>
  <si>
    <t>Client Relationship Management</t>
  </si>
  <si>
    <t>Crpo/Rpo Ratio</t>
  </si>
  <si>
    <t>%change</t>
  </si>
  <si>
    <t>ServiceNow Tier</t>
  </si>
  <si>
    <t>Estimated Price (per user/month)</t>
  </si>
  <si>
    <t>Key Features &amp; 2026 Context</t>
  </si>
  <si>
    <t>ITSM Standard</t>
  </si>
  <si>
    <t>$70 - $100</t>
  </si>
  <si>
    <t>ITSM Professional</t>
  </si>
  <si>
    <t>$120 - $150</t>
  </si>
  <si>
    <t>ITSM Enterprise</t>
  </si>
  <si>
    <t>$160 - $200+</t>
  </si>
  <si>
    <t>Pro Plus (AI SKU)</t>
  </si>
  <si>
    <t>+50% to 60% Uplift</t>
  </si>
  <si>
    <t>NNACV Across Solution Segments</t>
  </si>
  <si>
    <t>Technology</t>
  </si>
  <si>
    <t>CRM &amp; Core</t>
  </si>
  <si>
    <t>Creator</t>
  </si>
  <si>
    <t>NNACV  in Now Assist (in millions)</t>
  </si>
  <si>
    <t>For FY2025</t>
  </si>
  <si>
    <t>Subs rev</t>
  </si>
  <si>
    <t>no of cust</t>
  </si>
  <si>
    <t>Top Line rev</t>
  </si>
  <si>
    <t>no of cust ACV &gt; $5M</t>
  </si>
  <si>
    <t>Rev growth</t>
  </si>
  <si>
    <t xml:space="preserve">avg ACV </t>
  </si>
  <si>
    <t>no of prem cust %</t>
  </si>
  <si>
    <t>no of prem cust rev %</t>
  </si>
  <si>
    <t>prem cust rev % of total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</si>
</sst>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£&quot;* #,##0_);_(&quot;£&quot;* \(#,##0\);_(&quot;£&quot;* &quot;-&quot;_);_(@_)"/>
    <numFmt numFmtId="167" formatCode="_(&quot;£&quot;* #,##0.00_);_(&quot;£&quot;* \(#,##0.00\);_(&quot;£&quot;* &quot;-&quot;??_);_(@_)"/>
    <numFmt numFmtId="168" formatCode="#,##0.0_);\(#,##0.0\);0.0_);@_)"/>
    <numFmt numFmtId="169" formatCode="#,##0.0_);\(#,##0.0\)"/>
    <numFmt numFmtId="170" formatCode="[$-409]d\-mmm\-yy;@"/>
    <numFmt numFmtId="171" formatCode="0.0%_);\(0.0%\)"/>
    <numFmt numFmtId="172" formatCode="&quot;Yes&quot;;;&quot;No&quot;"/>
    <numFmt numFmtId="173" formatCode="0.00%_);\(0.00%\)"/>
    <numFmt numFmtId="174" formatCode="0.0%"/>
    <numFmt numFmtId="175" formatCode="#,##0.00_);\(#,##0.00\);0.00_);@_)"/>
    <numFmt numFmtId="176" formatCode="#,##0.0%_);\(#,##0.0\)%;0.0_);@_)"/>
    <numFmt numFmtId="177" formatCode="#,##0.0\x_);\(#,##0.0\)\x;0.0\x_)"/>
    <numFmt numFmtId="178" formatCode="#,##0.0%_);\(#,##0.0\)%;0.0%_);@_)"/>
    <numFmt numFmtId="179" formatCode="\¥#,##0.0_);\(\¥#,##0.0\);\¥0.0_);@_)"/>
    <numFmt numFmtId="180" formatCode="\¥#,##0.00_);\(\¥#,##0.00\);\¥0.00_);@_)"/>
    <numFmt numFmtId="181" formatCode="&quot;20X&quot;0"/>
    <numFmt numFmtId="182" formatCode="0.000"/>
    <numFmt numFmtId="183" formatCode="#,##0%_);\(#,##0\)%;0%_);@_)"/>
    <numFmt numFmtId="184" formatCode="#,##0_);\(#,##0\);0_);@_)"/>
    <numFmt numFmtId="185" formatCode="_([$$-409]* #,##0.00_);_([$$-409]* \(#,##0.00\);_([$$-409]* &quot;-&quot;??_);_(@_)"/>
    <numFmt numFmtId="186" formatCode="_-* #,##0_-;\-* #,##0_-;_-* &quot;-&quot;??_-;_-@_-"/>
    <numFmt numFmtId="187" formatCode="0.0"/>
    <numFmt numFmtId="188" formatCode="#,##0.00%_);\(#,##0.00\)%;0.00%_);@_)"/>
    <numFmt numFmtId="189" formatCode="#,##0.0;\-#,##0.0"/>
    <numFmt numFmtId="190" formatCode="#,##0.000_);\(#,##0.000\);0.000_);@_)"/>
  </numFmts>
  <fonts count="120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2"/>
      <color rgb="FF0000FF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2"/>
      <name val="Arial"/>
      <family val="2"/>
    </font>
    <font>
      <b/>
      <sz val="24"/>
      <color rgb="FF0000FF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0"/>
      <color rgb="FF027D07"/>
      <name val="Arial"/>
      <family val="2"/>
    </font>
    <font>
      <sz val="11"/>
      <color rgb="FF027D07"/>
      <name val="Arial"/>
      <family val="2"/>
    </font>
    <font>
      <u/>
      <sz val="10"/>
      <color rgb="FFFF6600"/>
      <name val="Arial"/>
      <family val="2"/>
    </font>
    <font>
      <sz val="7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8"/>
      <color rgb="FFC00000"/>
      <name val="Arial"/>
      <family val="2"/>
    </font>
    <font>
      <sz val="9"/>
      <color indexed="81"/>
      <name val="Tahoma"/>
      <family val="2"/>
    </font>
    <font>
      <sz val="10"/>
      <name val="Frutiger 45 Light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339933"/>
      <name val="Arial"/>
      <family val="2"/>
    </font>
    <font>
      <sz val="10"/>
      <color rgb="FF339933"/>
      <name val="Arial"/>
      <family val="2"/>
    </font>
    <font>
      <sz val="10"/>
      <color rgb="FFFFFFCC"/>
      <name val="Arial"/>
      <family val="2"/>
    </font>
    <font>
      <sz val="14"/>
      <color rgb="FF000000"/>
      <name val="Arial"/>
      <family val="2"/>
    </font>
    <font>
      <sz val="10"/>
      <color rgb="FF000000"/>
      <name val="Calibri"/>
      <family val="2"/>
    </font>
    <font>
      <b/>
      <sz val="14"/>
      <color rgb="FF050A3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0000FF"/>
      <name val="Arial"/>
      <family val="2"/>
    </font>
    <font>
      <sz val="10"/>
      <color rgb="FF009B00"/>
      <name val="Arial"/>
      <family val="2"/>
    </font>
    <font>
      <b/>
      <sz val="14"/>
      <color rgb="FF002060"/>
      <name val="Arial"/>
      <family val="2"/>
    </font>
    <font>
      <sz val="11"/>
      <color rgb="FF000000"/>
      <name val="Calibri"/>
      <family val="2"/>
    </font>
    <font>
      <b/>
      <sz val="18"/>
      <color rgb="FF00539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432FF"/>
      <name val="Calibri"/>
      <family val="2"/>
    </font>
    <font>
      <b/>
      <sz val="12"/>
      <color rgb="FF000000"/>
      <name val="Calibri"/>
      <family val="2"/>
    </font>
    <font>
      <b/>
      <sz val="12"/>
      <color rgb="FF0432FF"/>
      <name val="Calibri"/>
      <family val="2"/>
    </font>
    <font>
      <sz val="60"/>
      <color rgb="FF000000"/>
      <name val="Calibri"/>
      <family val="2"/>
    </font>
    <font>
      <sz val="18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b/>
      <sz val="10"/>
      <color rgb="FF002060"/>
      <name val="Arial"/>
      <family val="2"/>
    </font>
    <font>
      <b/>
      <sz val="12"/>
      <color rgb="FF002060"/>
      <name val="Arial"/>
      <family val="2"/>
    </font>
    <font>
      <b/>
      <sz val="8"/>
      <color rgb="FF002060"/>
      <name val="Arial"/>
      <family val="2"/>
    </font>
    <font>
      <sz val="11"/>
      <color rgb="FF0000FF"/>
      <name val="Calibri"/>
      <family val="2"/>
    </font>
    <font>
      <sz val="10"/>
      <color rgb="FF00206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rgb="FF106B39"/>
      <name val="Arial"/>
      <family val="2"/>
    </font>
    <font>
      <sz val="12"/>
      <color rgb="FF000000"/>
      <name val="Cambria"/>
      <family val="1"/>
      <scheme val="major"/>
    </font>
    <font>
      <sz val="1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Arial"/>
      <family val="2"/>
    </font>
    <font>
      <b/>
      <sz val="18"/>
      <color rgb="FF002060"/>
      <name val="Abadi"/>
      <family val="2"/>
    </font>
    <font>
      <sz val="11"/>
      <color rgb="FF0000FF"/>
      <name val="Cambria"/>
      <family val="1"/>
      <scheme val="major"/>
    </font>
    <font>
      <sz val="14"/>
      <color rgb="FF002060"/>
      <name val="Arial"/>
      <family val="2"/>
    </font>
    <font>
      <sz val="10"/>
      <color rgb="FF002060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Inter"/>
      <charset val="1"/>
    </font>
    <font>
      <sz val="12"/>
      <color rgb="FF000000"/>
      <name val="Inter"/>
      <charset val="1"/>
    </font>
    <font>
      <sz val="12"/>
      <name val="Cambria"/>
      <family val="1"/>
      <scheme val="major"/>
    </font>
    <font>
      <sz val="11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339933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339933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i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002060"/>
      <name val="Arial"/>
      <family val="2"/>
    </font>
    <font>
      <sz val="10"/>
      <color rgb="FF009B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339933"/>
      <name val="Arial"/>
      <family val="2"/>
    </font>
    <font>
      <i/>
      <sz val="10"/>
      <color rgb="FF339933"/>
      <name val="Arial"/>
      <family val="2"/>
    </font>
    <font>
      <b/>
      <i/>
      <sz val="10"/>
      <color rgb="FF000000"/>
      <name val="Arial"/>
      <family val="2"/>
    </font>
    <font>
      <i/>
      <sz val="10"/>
      <color rgb="FFFF0000"/>
      <name val="Arial"/>
      <family val="2"/>
    </font>
    <font>
      <b/>
      <sz val="10"/>
      <color rgb="FF00206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66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53E053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293D6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2499465926084170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theme="2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</borders>
  <cellStyleXfs count="72">
    <xf numFmtId="168" fontId="0" fillId="0" borderId="0"/>
    <xf numFmtId="15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69" fontId="22" fillId="33" borderId="1" applyNumberFormat="0" applyAlignment="0" applyProtection="0"/>
    <xf numFmtId="178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5" applyNumberFormat="0" applyAlignment="0" applyProtection="0"/>
    <xf numFmtId="0" fontId="13" fillId="5" borderId="6" applyNumberFormat="0" applyAlignment="0" applyProtection="0"/>
    <xf numFmtId="0" fontId="14" fillId="0" borderId="7" applyNumberFormat="0" applyFill="0" applyAlignment="0" applyProtection="0"/>
    <xf numFmtId="0" fontId="15" fillId="6" borderId="8" applyNumberFormat="0" applyAlignment="0" applyProtection="0"/>
    <xf numFmtId="0" fontId="16" fillId="0" borderId="0" applyNumberFormat="0" applyFill="0" applyBorder="0" applyAlignment="0" applyProtection="0"/>
    <xf numFmtId="0" fontId="1" fillId="7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19" fillId="31" borderId="0" applyNumberFormat="0" applyBorder="0" applyAlignment="0" applyProtection="0"/>
    <xf numFmtId="168" fontId="2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9" fontId="27" fillId="0" borderId="11" applyNumberFormat="0" applyAlignment="0" applyProtection="0"/>
    <xf numFmtId="169" fontId="28" fillId="32" borderId="0" applyNumberFormat="0" applyBorder="0" applyProtection="0">
      <alignment horizontal="left" vertical="center"/>
    </xf>
    <xf numFmtId="169" fontId="30" fillId="0" borderId="0" applyNumberFormat="0" applyFill="0" applyBorder="0" applyAlignment="0" applyProtection="0"/>
    <xf numFmtId="172" fontId="3" fillId="0" borderId="0" applyFont="0" applyFill="0" applyBorder="0" applyAlignment="0" applyProtection="0"/>
    <xf numFmtId="176" fontId="22" fillId="33" borderId="1" applyAlignment="0" applyProtection="0"/>
    <xf numFmtId="171" fontId="22" fillId="34" borderId="1" applyNumberFormat="0" applyFill="0" applyBorder="0" applyAlignment="0" applyProtection="0"/>
    <xf numFmtId="169" fontId="29" fillId="32" borderId="0" applyNumberFormat="0" applyBorder="0" applyProtection="0">
      <alignment horizontal="left" vertical="center"/>
    </xf>
    <xf numFmtId="169" fontId="31" fillId="0" borderId="0" applyNumberFormat="0" applyFill="0" applyBorder="0" applyProtection="0">
      <alignment horizontal="left"/>
    </xf>
    <xf numFmtId="0" fontId="1" fillId="0" borderId="0"/>
    <xf numFmtId="168" fontId="1" fillId="0" borderId="0">
      <protection locked="0"/>
    </xf>
    <xf numFmtId="169" fontId="36" fillId="0" borderId="0" applyNumberFormat="0" applyFill="0" applyBorder="0" applyAlignment="0" applyProtection="0"/>
    <xf numFmtId="168" fontId="37" fillId="0" borderId="0" applyNumberFormat="0" applyFill="0" applyBorder="0" applyProtection="0">
      <alignment vertical="center"/>
      <protection hidden="1"/>
    </xf>
    <xf numFmtId="0" fontId="40" fillId="0" borderId="0"/>
    <xf numFmtId="0" fontId="43" fillId="0" borderId="0"/>
    <xf numFmtId="4" fontId="44" fillId="40" borderId="21">
      <alignment horizontal="right"/>
    </xf>
    <xf numFmtId="0" fontId="1" fillId="0" borderId="0"/>
    <xf numFmtId="44" fontId="79" fillId="0" borderId="0" applyFont="0" applyFill="0" applyBorder="0" applyAlignment="0" applyProtection="0"/>
    <xf numFmtId="0" fontId="1" fillId="0" borderId="0"/>
    <xf numFmtId="0" fontId="1" fillId="0" borderId="0">
      <alignment vertical="top"/>
    </xf>
    <xf numFmtId="186" fontId="3" fillId="0" borderId="0" applyNumberFormat="0" applyFont="0" applyBorder="0" applyAlignment="0" applyProtection="0"/>
    <xf numFmtId="9" fontId="79" fillId="0" borderId="0" applyFont="0" applyFill="0" applyBorder="0" applyAlignment="0" applyProtection="0"/>
  </cellStyleXfs>
  <cellXfs count="691">
    <xf numFmtId="168" fontId="0" fillId="0" borderId="0" xfId="0"/>
    <xf numFmtId="168" fontId="23" fillId="0" borderId="0" xfId="0" applyFont="1"/>
    <xf numFmtId="168" fontId="24" fillId="0" borderId="0" xfId="0" applyFont="1"/>
    <xf numFmtId="168" fontId="25" fillId="0" borderId="0" xfId="0" applyFont="1"/>
    <xf numFmtId="168" fontId="1" fillId="0" borderId="0" xfId="0" applyFont="1"/>
    <xf numFmtId="178" fontId="1" fillId="0" borderId="0" xfId="4" applyFont="1" applyFill="1" applyBorder="1"/>
    <xf numFmtId="178" fontId="3" fillId="0" borderId="0" xfId="4" applyFont="1" applyFill="1" applyBorder="1"/>
    <xf numFmtId="168" fontId="2" fillId="0" borderId="0" xfId="0" applyFont="1"/>
    <xf numFmtId="178" fontId="1" fillId="0" borderId="0" xfId="4" applyFont="1"/>
    <xf numFmtId="178" fontId="1" fillId="0" borderId="0" xfId="4" applyFont="1" applyFill="1"/>
    <xf numFmtId="174" fontId="1" fillId="0" borderId="0" xfId="0" applyNumberFormat="1" applyFont="1"/>
    <xf numFmtId="168" fontId="32" fillId="0" borderId="0" xfId="0" applyFont="1"/>
    <xf numFmtId="168" fontId="1" fillId="0" borderId="0" xfId="0" quotePrefix="1" applyFont="1"/>
    <xf numFmtId="168" fontId="33" fillId="0" borderId="0" xfId="0" applyFont="1"/>
    <xf numFmtId="169" fontId="22" fillId="33" borderId="1" xfId="3" applyAlignment="1">
      <alignment horizontal="center"/>
    </xf>
    <xf numFmtId="168" fontId="35" fillId="0" borderId="0" xfId="0" applyFont="1"/>
    <xf numFmtId="168" fontId="34" fillId="0" borderId="0" xfId="0" applyFont="1"/>
    <xf numFmtId="168" fontId="22" fillId="0" borderId="0" xfId="56" applyNumberFormat="1" applyFill="1" applyBorder="1"/>
    <xf numFmtId="168" fontId="30" fillId="0" borderId="0" xfId="53" applyNumberFormat="1" applyFill="1"/>
    <xf numFmtId="169" fontId="38" fillId="0" borderId="0" xfId="58" applyFont="1">
      <alignment horizontal="left"/>
    </xf>
    <xf numFmtId="168" fontId="38" fillId="0" borderId="0" xfId="51" applyNumberFormat="1" applyFont="1" applyBorder="1"/>
    <xf numFmtId="168" fontId="23" fillId="0" borderId="0" xfId="51" applyNumberFormat="1" applyFont="1" applyBorder="1" applyAlignment="1">
      <alignment horizontal="center"/>
    </xf>
    <xf numFmtId="37" fontId="23" fillId="0" borderId="11" xfId="51" applyNumberFormat="1" applyFont="1"/>
    <xf numFmtId="168" fontId="38" fillId="0" borderId="11" xfId="51" applyNumberFormat="1" applyFont="1"/>
    <xf numFmtId="170" fontId="23" fillId="0" borderId="11" xfId="51" applyNumberFormat="1" applyFont="1" applyAlignment="1">
      <alignment horizontal="center" vertical="center"/>
    </xf>
    <xf numFmtId="168" fontId="39" fillId="0" borderId="0" xfId="51" applyNumberFormat="1" applyFont="1" applyBorder="1" applyAlignment="1">
      <alignment horizontal="center"/>
    </xf>
    <xf numFmtId="15" fontId="39" fillId="0" borderId="11" xfId="1" applyFont="1" applyBorder="1" applyAlignment="1">
      <alignment horizontal="center" vertical="center"/>
    </xf>
    <xf numFmtId="170" fontId="39" fillId="0" borderId="11" xfId="51" applyNumberFormat="1" applyFont="1" applyAlignment="1">
      <alignment horizontal="center" vertical="center"/>
    </xf>
    <xf numFmtId="168" fontId="1" fillId="35" borderId="0" xfId="0" applyFont="1" applyFill="1"/>
    <xf numFmtId="181" fontId="23" fillId="0" borderId="11" xfId="51" applyNumberFormat="1" applyFont="1" applyAlignment="1">
      <alignment horizontal="center" vertical="center"/>
    </xf>
    <xf numFmtId="16" fontId="22" fillId="33" borderId="1" xfId="3" quotePrefix="1" applyNumberFormat="1" applyAlignment="1">
      <alignment horizontal="center"/>
    </xf>
    <xf numFmtId="168" fontId="41" fillId="0" borderId="0" xfId="0" applyFont="1"/>
    <xf numFmtId="1" fontId="23" fillId="0" borderId="11" xfId="51" applyNumberFormat="1" applyFont="1" applyAlignment="1">
      <alignment horizontal="center" vertical="center"/>
    </xf>
    <xf numFmtId="168" fontId="1" fillId="36" borderId="0" xfId="0" applyFont="1" applyFill="1"/>
    <xf numFmtId="0" fontId="23" fillId="0" borderId="0" xfId="64" applyFont="1"/>
    <xf numFmtId="0" fontId="1" fillId="0" borderId="0" xfId="64" applyFont="1"/>
    <xf numFmtId="0" fontId="1" fillId="0" borderId="0" xfId="64" applyFont="1" applyAlignment="1">
      <alignment horizontal="left" indent="1"/>
    </xf>
    <xf numFmtId="0" fontId="44" fillId="0" borderId="0" xfId="64" applyFont="1" applyAlignment="1">
      <alignment horizontal="left"/>
    </xf>
    <xf numFmtId="168" fontId="1" fillId="0" borderId="0" xfId="51" applyNumberFormat="1" applyFont="1" applyBorder="1"/>
    <xf numFmtId="165" fontId="1" fillId="0" borderId="0" xfId="0" applyNumberFormat="1" applyFont="1"/>
    <xf numFmtId="168" fontId="47" fillId="0" borderId="0" xfId="0" applyFont="1"/>
    <xf numFmtId="165" fontId="1" fillId="0" borderId="0" xfId="0" applyNumberFormat="1" applyFont="1" applyAlignment="1">
      <alignment horizontal="center" vertical="center"/>
    </xf>
    <xf numFmtId="2" fontId="22" fillId="0" borderId="0" xfId="64" applyNumberFormat="1" applyFont="1" applyAlignment="1">
      <alignment horizontal="center"/>
    </xf>
    <xf numFmtId="2" fontId="46" fillId="0" borderId="0" xfId="64" applyNumberFormat="1" applyFont="1"/>
    <xf numFmtId="168" fontId="54" fillId="0" borderId="0" xfId="0" applyFont="1"/>
    <xf numFmtId="168" fontId="55" fillId="0" borderId="0" xfId="0" applyFont="1"/>
    <xf numFmtId="168" fontId="55" fillId="0" borderId="0" xfId="0" applyFont="1" applyAlignment="1">
      <alignment horizontal="center"/>
    </xf>
    <xf numFmtId="168" fontId="55" fillId="0" borderId="0" xfId="0" applyFont="1" applyAlignment="1">
      <alignment vertical="top"/>
    </xf>
    <xf numFmtId="168" fontId="55" fillId="0" borderId="15" xfId="0" applyFont="1" applyBorder="1"/>
    <xf numFmtId="168" fontId="55" fillId="0" borderId="13" xfId="0" applyFont="1" applyBorder="1"/>
    <xf numFmtId="168" fontId="55" fillId="0" borderId="19" xfId="0" applyFont="1" applyBorder="1"/>
    <xf numFmtId="168" fontId="55" fillId="38" borderId="15" xfId="0" applyFont="1" applyFill="1" applyBorder="1" applyAlignment="1">
      <alignment horizontal="left"/>
    </xf>
    <xf numFmtId="168" fontId="56" fillId="38" borderId="15" xfId="0" applyFont="1" applyFill="1" applyBorder="1" applyAlignment="1">
      <alignment horizontal="left" indent="1"/>
    </xf>
    <xf numFmtId="168" fontId="55" fillId="38" borderId="15" xfId="0" applyFont="1" applyFill="1" applyBorder="1"/>
    <xf numFmtId="168" fontId="56" fillId="38" borderId="17" xfId="0" applyFont="1" applyFill="1" applyBorder="1" applyAlignment="1">
      <alignment horizontal="left" indent="1"/>
    </xf>
    <xf numFmtId="168" fontId="54" fillId="0" borderId="15" xfId="0" applyFont="1" applyBorder="1"/>
    <xf numFmtId="168" fontId="54" fillId="0" borderId="20" xfId="0" applyFont="1" applyBorder="1" applyAlignment="1">
      <alignment horizontal="right"/>
    </xf>
    <xf numFmtId="168" fontId="54" fillId="38" borderId="15" xfId="0" applyFont="1" applyFill="1" applyBorder="1"/>
    <xf numFmtId="168" fontId="55" fillId="0" borderId="17" xfId="0" applyFont="1" applyBorder="1"/>
    <xf numFmtId="168" fontId="54" fillId="0" borderId="1" xfId="0" applyFont="1" applyBorder="1"/>
    <xf numFmtId="168" fontId="55" fillId="0" borderId="15" xfId="0" applyFont="1" applyBorder="1" applyAlignment="1">
      <alignment horizontal="left"/>
    </xf>
    <xf numFmtId="168" fontId="56" fillId="0" borderId="13" xfId="0" applyFont="1" applyBorder="1" applyAlignment="1">
      <alignment horizontal="left" indent="1"/>
    </xf>
    <xf numFmtId="168" fontId="0" fillId="0" borderId="0" xfId="0" applyAlignment="1">
      <alignment horizontal="left" indent="1"/>
    </xf>
    <xf numFmtId="168" fontId="26" fillId="0" borderId="0" xfId="0" applyFont="1" applyAlignment="1">
      <alignment horizontal="left" indent="2"/>
    </xf>
    <xf numFmtId="168" fontId="55" fillId="0" borderId="0" xfId="0" applyFont="1" applyAlignment="1">
      <alignment horizontal="left"/>
    </xf>
    <xf numFmtId="168" fontId="56" fillId="0" borderId="0" xfId="0" applyFont="1" applyAlignment="1">
      <alignment horizontal="left" indent="1"/>
    </xf>
    <xf numFmtId="168" fontId="55" fillId="0" borderId="0" xfId="0" applyFont="1" applyAlignment="1">
      <alignment horizontal="left" indent="1"/>
    </xf>
    <xf numFmtId="168" fontId="55" fillId="0" borderId="13" xfId="0" applyFont="1" applyBorder="1" applyAlignment="1">
      <alignment horizontal="left" indent="1"/>
    </xf>
    <xf numFmtId="168" fontId="56" fillId="0" borderId="0" xfId="0" applyFont="1" applyAlignment="1">
      <alignment horizontal="left"/>
    </xf>
    <xf numFmtId="168" fontId="54" fillId="0" borderId="0" xfId="0" applyFont="1" applyAlignment="1">
      <alignment horizontal="left" indent="1"/>
    </xf>
    <xf numFmtId="178" fontId="0" fillId="0" borderId="0" xfId="4" applyFont="1"/>
    <xf numFmtId="168" fontId="0" fillId="0" borderId="0" xfId="0" applyAlignment="1">
      <alignment horizontal="left" indent="2"/>
    </xf>
    <xf numFmtId="168" fontId="0" fillId="0" borderId="13" xfId="0" applyBorder="1"/>
    <xf numFmtId="179" fontId="1" fillId="0" borderId="0" xfId="0" applyNumberFormat="1" applyFont="1"/>
    <xf numFmtId="173" fontId="1" fillId="0" borderId="0" xfId="4" applyNumberFormat="1" applyFont="1" applyFill="1"/>
    <xf numFmtId="165" fontId="23" fillId="0" borderId="0" xfId="0" applyNumberFormat="1" applyFont="1"/>
    <xf numFmtId="165" fontId="0" fillId="0" borderId="0" xfId="0" applyNumberFormat="1"/>
    <xf numFmtId="169" fontId="29" fillId="0" borderId="0" xfId="52" applyFont="1" applyFill="1">
      <alignment horizontal="left" vertical="center"/>
    </xf>
    <xf numFmtId="169" fontId="0" fillId="0" borderId="0" xfId="52" applyFont="1" applyFill="1">
      <alignment horizontal="left" vertical="center"/>
    </xf>
    <xf numFmtId="168" fontId="0" fillId="33" borderId="0" xfId="0" applyFill="1"/>
    <xf numFmtId="168" fontId="23" fillId="33" borderId="0" xfId="0" applyFont="1" applyFill="1"/>
    <xf numFmtId="168" fontId="1" fillId="33" borderId="0" xfId="0" applyFont="1" applyFill="1"/>
    <xf numFmtId="168" fontId="1" fillId="41" borderId="0" xfId="0" applyFont="1" applyFill="1"/>
    <xf numFmtId="168" fontId="25" fillId="41" borderId="0" xfId="0" applyFont="1" applyFill="1"/>
    <xf numFmtId="169" fontId="59" fillId="41" borderId="0" xfId="58" applyFont="1" applyFill="1">
      <alignment horizontal="left"/>
    </xf>
    <xf numFmtId="168" fontId="1" fillId="42" borderId="0" xfId="0" applyFont="1" applyFill="1"/>
    <xf numFmtId="168" fontId="23" fillId="42" borderId="0" xfId="0" applyFont="1" applyFill="1"/>
    <xf numFmtId="168" fontId="46" fillId="42" borderId="0" xfId="0" applyFont="1" applyFill="1"/>
    <xf numFmtId="0" fontId="1" fillId="0" borderId="13" xfId="64" applyFont="1" applyBorder="1"/>
    <xf numFmtId="0" fontId="23" fillId="0" borderId="0" xfId="64" applyFont="1" applyAlignment="1">
      <alignment horizontal="left" indent="1"/>
    </xf>
    <xf numFmtId="0" fontId="1" fillId="0" borderId="0" xfId="64" applyFont="1" applyAlignment="1">
      <alignment horizontal="left"/>
    </xf>
    <xf numFmtId="2" fontId="46" fillId="0" borderId="0" xfId="64" applyNumberFormat="1" applyFont="1" applyAlignment="1">
      <alignment horizontal="center"/>
    </xf>
    <xf numFmtId="168" fontId="60" fillId="0" borderId="0" xfId="0" applyFont="1"/>
    <xf numFmtId="168" fontId="61" fillId="0" borderId="22" xfId="0" applyFont="1" applyBorder="1"/>
    <xf numFmtId="168" fontId="62" fillId="0" borderId="0" xfId="0" applyFont="1"/>
    <xf numFmtId="168" fontId="62" fillId="0" borderId="22" xfId="0" applyFont="1" applyBorder="1"/>
    <xf numFmtId="168" fontId="63" fillId="0" borderId="0" xfId="0" applyFont="1" applyAlignment="1">
      <alignment horizontal="center"/>
    </xf>
    <xf numFmtId="168" fontId="63" fillId="0" borderId="0" xfId="0" applyFont="1" applyAlignment="1">
      <alignment horizontal="center" vertical="center" wrapText="1"/>
    </xf>
    <xf numFmtId="168" fontId="63" fillId="0" borderId="0" xfId="0" applyFont="1" applyAlignment="1">
      <alignment horizontal="center" vertical="center"/>
    </xf>
    <xf numFmtId="168" fontId="65" fillId="0" borderId="0" xfId="0" applyFont="1"/>
    <xf numFmtId="168" fontId="62" fillId="0" borderId="0" xfId="0" applyFont="1" applyAlignment="1">
      <alignment horizontal="center"/>
    </xf>
    <xf numFmtId="168" fontId="64" fillId="0" borderId="0" xfId="0" applyFont="1" applyAlignment="1">
      <alignment horizontal="center"/>
    </xf>
    <xf numFmtId="168" fontId="65" fillId="0" borderId="0" xfId="0" applyFont="1" applyAlignment="1">
      <alignment horizontal="center"/>
    </xf>
    <xf numFmtId="168" fontId="60" fillId="0" borderId="0" xfId="0" applyFont="1" applyAlignment="1">
      <alignment horizontal="center"/>
    </xf>
    <xf numFmtId="2" fontId="0" fillId="0" borderId="0" xfId="0" applyNumberFormat="1"/>
    <xf numFmtId="182" fontId="0" fillId="0" borderId="0" xfId="0" applyNumberFormat="1"/>
    <xf numFmtId="41" fontId="22" fillId="0" borderId="0" xfId="0" applyNumberFormat="1" applyFont="1" applyAlignment="1">
      <alignment horizontal="center"/>
    </xf>
    <xf numFmtId="41" fontId="46" fillId="0" borderId="0" xfId="0" applyNumberFormat="1" applyFont="1" applyAlignment="1">
      <alignment horizontal="center"/>
    </xf>
    <xf numFmtId="168" fontId="55" fillId="0" borderId="26" xfId="0" applyFont="1" applyBorder="1"/>
    <xf numFmtId="168" fontId="54" fillId="0" borderId="26" xfId="0" applyFont="1" applyBorder="1"/>
    <xf numFmtId="168" fontId="54" fillId="0" borderId="28" xfId="0" applyFont="1" applyBorder="1"/>
    <xf numFmtId="168" fontId="56" fillId="44" borderId="0" xfId="0" applyFont="1" applyFill="1" applyAlignment="1">
      <alignment horizontal="left" indent="1"/>
    </xf>
    <xf numFmtId="168" fontId="55" fillId="44" borderId="0" xfId="0" applyFont="1" applyFill="1"/>
    <xf numFmtId="10" fontId="1" fillId="0" borderId="0" xfId="0" applyNumberFormat="1" applyFont="1"/>
    <xf numFmtId="165" fontId="1" fillId="0" borderId="0" xfId="4" applyNumberFormat="1" applyFont="1" applyFill="1"/>
    <xf numFmtId="169" fontId="29" fillId="0" borderId="0" xfId="52" applyFont="1" applyFill="1" applyBorder="1">
      <alignment horizontal="left" vertical="center"/>
    </xf>
    <xf numFmtId="168" fontId="51" fillId="45" borderId="0" xfId="0" applyFont="1" applyFill="1"/>
    <xf numFmtId="168" fontId="52" fillId="45" borderId="0" xfId="0" applyFont="1" applyFill="1"/>
    <xf numFmtId="168" fontId="0" fillId="41" borderId="0" xfId="0" applyFill="1"/>
    <xf numFmtId="168" fontId="53" fillId="45" borderId="0" xfId="0" applyFont="1" applyFill="1" applyAlignment="1">
      <alignment horizontal="left"/>
    </xf>
    <xf numFmtId="168" fontId="72" fillId="45" borderId="0" xfId="0" applyFont="1" applyFill="1"/>
    <xf numFmtId="168" fontId="74" fillId="45" borderId="0" xfId="0" applyFont="1" applyFill="1"/>
    <xf numFmtId="168" fontId="66" fillId="0" borderId="0" xfId="0" applyFont="1"/>
    <xf numFmtId="168" fontId="63" fillId="0" borderId="0" xfId="0" applyFont="1"/>
    <xf numFmtId="168" fontId="66" fillId="0" borderId="0" xfId="0" applyFont="1" applyAlignment="1">
      <alignment horizontal="center"/>
    </xf>
    <xf numFmtId="168" fontId="67" fillId="0" borderId="0" xfId="0" applyFont="1"/>
    <xf numFmtId="168" fontId="0" fillId="0" borderId="15" xfId="0" applyBorder="1"/>
    <xf numFmtId="168" fontId="22" fillId="0" borderId="0" xfId="0" applyFont="1"/>
    <xf numFmtId="168" fontId="22" fillId="0" borderId="15" xfId="0" applyFont="1" applyBorder="1"/>
    <xf numFmtId="184" fontId="22" fillId="0" borderId="0" xfId="0" applyNumberFormat="1" applyFont="1"/>
    <xf numFmtId="184" fontId="1" fillId="35" borderId="0" xfId="0" applyNumberFormat="1" applyFont="1" applyFill="1"/>
    <xf numFmtId="184" fontId="22" fillId="0" borderId="0" xfId="56" applyNumberFormat="1" applyFill="1" applyBorder="1"/>
    <xf numFmtId="184" fontId="49" fillId="35" borderId="0" xfId="0" applyNumberFormat="1" applyFont="1" applyFill="1"/>
    <xf numFmtId="184" fontId="22" fillId="35" borderId="0" xfId="0" applyNumberFormat="1" applyFont="1" applyFill="1"/>
    <xf numFmtId="184" fontId="46" fillId="0" borderId="0" xfId="0" applyNumberFormat="1" applyFont="1"/>
    <xf numFmtId="184" fontId="23" fillId="35" borderId="0" xfId="0" applyNumberFormat="1" applyFont="1" applyFill="1"/>
    <xf numFmtId="184" fontId="1" fillId="0" borderId="0" xfId="0" applyNumberFormat="1" applyFont="1"/>
    <xf numFmtId="184" fontId="25" fillId="0" borderId="0" xfId="0" applyNumberFormat="1" applyFont="1"/>
    <xf numFmtId="184" fontId="23" fillId="0" borderId="0" xfId="0" applyNumberFormat="1" applyFont="1"/>
    <xf numFmtId="184" fontId="22" fillId="0" borderId="0" xfId="56" quotePrefix="1" applyNumberFormat="1" applyFill="1" applyBorder="1"/>
    <xf numFmtId="184" fontId="49" fillId="0" borderId="0" xfId="0" applyNumberFormat="1" applyFont="1"/>
    <xf numFmtId="184" fontId="0" fillId="0" borderId="0" xfId="0" applyNumberFormat="1"/>
    <xf numFmtId="168" fontId="73" fillId="0" borderId="0" xfId="0" applyFont="1"/>
    <xf numFmtId="168" fontId="62" fillId="39" borderId="0" xfId="0" applyFont="1" applyFill="1"/>
    <xf numFmtId="168" fontId="66" fillId="39" borderId="0" xfId="0" applyFont="1" applyFill="1"/>
    <xf numFmtId="168" fontId="0" fillId="39" borderId="0" xfId="0" applyFill="1"/>
    <xf numFmtId="168" fontId="23" fillId="39" borderId="0" xfId="0" applyFont="1" applyFill="1"/>
    <xf numFmtId="168" fontId="55" fillId="41" borderId="0" xfId="0" applyFont="1" applyFill="1"/>
    <xf numFmtId="168" fontId="52" fillId="41" borderId="0" xfId="0" applyFont="1" applyFill="1"/>
    <xf numFmtId="168" fontId="54" fillId="41" borderId="0" xfId="0" applyFont="1" applyFill="1"/>
    <xf numFmtId="168" fontId="0" fillId="36" borderId="0" xfId="0" applyFill="1"/>
    <xf numFmtId="0" fontId="29" fillId="36" borderId="0" xfId="66" applyFont="1" applyFill="1"/>
    <xf numFmtId="0" fontId="78" fillId="36" borderId="15" xfId="66" applyFont="1" applyFill="1" applyBorder="1"/>
    <xf numFmtId="168" fontId="78" fillId="36" borderId="16" xfId="0" applyFont="1" applyFill="1" applyBorder="1" applyAlignment="1">
      <alignment horizontal="right"/>
    </xf>
    <xf numFmtId="9" fontId="78" fillId="36" borderId="15" xfId="66" applyNumberFormat="1" applyFont="1" applyFill="1" applyBorder="1"/>
    <xf numFmtId="44" fontId="46" fillId="36" borderId="16" xfId="67" applyFont="1" applyFill="1" applyBorder="1"/>
    <xf numFmtId="164" fontId="0" fillId="0" borderId="0" xfId="0" applyNumberFormat="1"/>
    <xf numFmtId="9" fontId="0" fillId="0" borderId="0" xfId="0" applyNumberFormat="1"/>
    <xf numFmtId="168" fontId="0" fillId="0" borderId="16" xfId="0" applyBorder="1"/>
    <xf numFmtId="44" fontId="78" fillId="36" borderId="16" xfId="67" applyFont="1" applyFill="1" applyBorder="1"/>
    <xf numFmtId="9" fontId="78" fillId="36" borderId="17" xfId="66" applyNumberFormat="1" applyFont="1" applyFill="1" applyBorder="1"/>
    <xf numFmtId="168" fontId="78" fillId="36" borderId="13" xfId="0" applyFont="1" applyFill="1" applyBorder="1"/>
    <xf numFmtId="168" fontId="0" fillId="36" borderId="13" xfId="0" applyFill="1" applyBorder="1"/>
    <xf numFmtId="44" fontId="46" fillId="36" borderId="18" xfId="67" applyFont="1" applyFill="1" applyBorder="1"/>
    <xf numFmtId="168" fontId="78" fillId="36" borderId="0" xfId="0" applyFont="1" applyFill="1"/>
    <xf numFmtId="185" fontId="0" fillId="0" borderId="0" xfId="0" applyNumberFormat="1"/>
    <xf numFmtId="0" fontId="78" fillId="36" borderId="17" xfId="66" applyFont="1" applyFill="1" applyBorder="1"/>
    <xf numFmtId="0" fontId="78" fillId="36" borderId="13" xfId="66" applyFont="1" applyFill="1" applyBorder="1"/>
    <xf numFmtId="0" fontId="78" fillId="36" borderId="13" xfId="66" applyFont="1" applyFill="1" applyBorder="1" applyAlignment="1">
      <alignment horizontal="center"/>
    </xf>
    <xf numFmtId="0" fontId="78" fillId="36" borderId="18" xfId="66" applyFont="1" applyFill="1" applyBorder="1" applyAlignment="1">
      <alignment horizontal="center"/>
    </xf>
    <xf numFmtId="0" fontId="78" fillId="36" borderId="0" xfId="66" applyFont="1" applyFill="1"/>
    <xf numFmtId="0" fontId="78" fillId="36" borderId="17" xfId="66" applyFont="1" applyFill="1" applyBorder="1" applyAlignment="1">
      <alignment horizontal="left"/>
    </xf>
    <xf numFmtId="9" fontId="77" fillId="0" borderId="13" xfId="0" applyNumberFormat="1" applyFont="1" applyBorder="1"/>
    <xf numFmtId="164" fontId="0" fillId="0" borderId="13" xfId="0" applyNumberFormat="1" applyBorder="1"/>
    <xf numFmtId="164" fontId="77" fillId="0" borderId="30" xfId="0" applyNumberFormat="1" applyFont="1" applyBorder="1"/>
    <xf numFmtId="0" fontId="40" fillId="36" borderId="15" xfId="66" applyFont="1" applyFill="1" applyBorder="1"/>
    <xf numFmtId="0" fontId="40" fillId="36" borderId="0" xfId="66" applyFont="1" applyFill="1"/>
    <xf numFmtId="44" fontId="40" fillId="36" borderId="0" xfId="67" applyFont="1" applyFill="1" applyBorder="1" applyAlignment="1">
      <alignment horizontal="center"/>
    </xf>
    <xf numFmtId="178" fontId="40" fillId="36" borderId="0" xfId="4" applyFont="1" applyFill="1" applyBorder="1" applyAlignment="1">
      <alignment horizontal="center"/>
    </xf>
    <xf numFmtId="44" fontId="40" fillId="36" borderId="0" xfId="67" applyFont="1" applyFill="1" applyBorder="1"/>
    <xf numFmtId="0" fontId="40" fillId="36" borderId="16" xfId="66" applyFont="1" applyFill="1" applyBorder="1"/>
    <xf numFmtId="0" fontId="40" fillId="36" borderId="17" xfId="66" applyFont="1" applyFill="1" applyBorder="1"/>
    <xf numFmtId="0" fontId="40" fillId="36" borderId="13" xfId="66" applyFont="1" applyFill="1" applyBorder="1"/>
    <xf numFmtId="44" fontId="40" fillId="36" borderId="13" xfId="67" applyFont="1" applyFill="1" applyBorder="1" applyAlignment="1">
      <alignment horizontal="center"/>
    </xf>
    <xf numFmtId="178" fontId="40" fillId="36" borderId="13" xfId="4" applyFont="1" applyFill="1" applyBorder="1" applyAlignment="1">
      <alignment horizontal="center"/>
    </xf>
    <xf numFmtId="44" fontId="40" fillId="36" borderId="13" xfId="67" applyFont="1" applyFill="1" applyBorder="1"/>
    <xf numFmtId="44" fontId="40" fillId="36" borderId="18" xfId="67" applyFont="1" applyFill="1" applyBorder="1"/>
    <xf numFmtId="168" fontId="77" fillId="0" borderId="14" xfId="0" applyFont="1" applyBorder="1" applyAlignment="1">
      <alignment horizontal="center"/>
    </xf>
    <xf numFmtId="168" fontId="77" fillId="0" borderId="31" xfId="0" applyFont="1" applyBorder="1" applyAlignment="1">
      <alignment horizontal="center"/>
    </xf>
    <xf numFmtId="168" fontId="77" fillId="0" borderId="12" xfId="0" applyFont="1" applyBorder="1" applyAlignment="1">
      <alignment horizontal="center"/>
    </xf>
    <xf numFmtId="44" fontId="0" fillId="0" borderId="0" xfId="67" applyFont="1" applyBorder="1"/>
    <xf numFmtId="44" fontId="0" fillId="0" borderId="16" xfId="67" applyFont="1" applyBorder="1"/>
    <xf numFmtId="168" fontId="0" fillId="0" borderId="17" xfId="0" applyBorder="1"/>
    <xf numFmtId="44" fontId="0" fillId="0" borderId="13" xfId="67" applyFont="1" applyBorder="1"/>
    <xf numFmtId="44" fontId="0" fillId="0" borderId="18" xfId="67" applyFont="1" applyBorder="1"/>
    <xf numFmtId="168" fontId="80" fillId="36" borderId="0" xfId="0" applyFont="1" applyFill="1"/>
    <xf numFmtId="168" fontId="81" fillId="36" borderId="0" xfId="0" applyFont="1" applyFill="1"/>
    <xf numFmtId="168" fontId="40" fillId="0" borderId="15" xfId="0" applyFont="1" applyBorder="1"/>
    <xf numFmtId="168" fontId="40" fillId="0" borderId="0" xfId="0" applyFont="1"/>
    <xf numFmtId="185" fontId="78" fillId="0" borderId="16" xfId="0" applyNumberFormat="1" applyFont="1" applyBorder="1"/>
    <xf numFmtId="168" fontId="40" fillId="0" borderId="17" xfId="0" applyFont="1" applyBorder="1"/>
    <xf numFmtId="168" fontId="40" fillId="0" borderId="13" xfId="0" applyFont="1" applyBorder="1"/>
    <xf numFmtId="185" fontId="78" fillId="0" borderId="18" xfId="0" applyNumberFormat="1" applyFont="1" applyBorder="1"/>
    <xf numFmtId="168" fontId="1" fillId="0" borderId="32" xfId="0" applyFont="1" applyBorder="1"/>
    <xf numFmtId="0" fontId="40" fillId="36" borderId="34" xfId="66" applyFont="1" applyFill="1" applyBorder="1"/>
    <xf numFmtId="0" fontId="40" fillId="36" borderId="25" xfId="66" applyFont="1" applyFill="1" applyBorder="1"/>
    <xf numFmtId="44" fontId="40" fillId="36" borderId="25" xfId="67" applyFont="1" applyFill="1" applyBorder="1" applyAlignment="1">
      <alignment horizontal="center"/>
    </xf>
    <xf numFmtId="178" fontId="40" fillId="36" borderId="25" xfId="4" applyFont="1" applyFill="1" applyBorder="1" applyAlignment="1">
      <alignment horizontal="center"/>
    </xf>
    <xf numFmtId="44" fontId="40" fillId="36" borderId="25" xfId="67" applyFont="1" applyFill="1" applyBorder="1"/>
    <xf numFmtId="0" fontId="40" fillId="36" borderId="35" xfId="66" applyFont="1" applyFill="1" applyBorder="1"/>
    <xf numFmtId="44" fontId="40" fillId="0" borderId="0" xfId="67" applyFont="1" applyFill="1" applyBorder="1" applyAlignment="1"/>
    <xf numFmtId="0" fontId="29" fillId="0" borderId="0" xfId="66" applyFont="1"/>
    <xf numFmtId="0" fontId="78" fillId="0" borderId="0" xfId="66" applyFont="1"/>
    <xf numFmtId="0" fontId="78" fillId="0" borderId="0" xfId="66" applyFont="1" applyAlignment="1">
      <alignment horizontal="center"/>
    </xf>
    <xf numFmtId="168" fontId="78" fillId="0" borderId="0" xfId="0" applyFont="1" applyAlignment="1">
      <alignment horizontal="center"/>
    </xf>
    <xf numFmtId="168" fontId="40" fillId="0" borderId="0" xfId="0" applyFont="1" applyAlignment="1">
      <alignment horizontal="center"/>
    </xf>
    <xf numFmtId="0" fontId="40" fillId="0" borderId="0" xfId="66" applyFont="1"/>
    <xf numFmtId="168" fontId="81" fillId="0" borderId="0" xfId="0" applyFont="1"/>
    <xf numFmtId="9" fontId="40" fillId="0" borderId="0" xfId="0" applyNumberFormat="1" applyFont="1"/>
    <xf numFmtId="168" fontId="78" fillId="0" borderId="0" xfId="0" applyFont="1"/>
    <xf numFmtId="164" fontId="78" fillId="0" borderId="0" xfId="0" applyNumberFormat="1" applyFont="1"/>
    <xf numFmtId="185" fontId="78" fillId="0" borderId="0" xfId="0" applyNumberFormat="1" applyFont="1"/>
    <xf numFmtId="0" fontId="29" fillId="41" borderId="26" xfId="66" applyFont="1" applyFill="1" applyBorder="1"/>
    <xf numFmtId="0" fontId="29" fillId="41" borderId="19" xfId="66" applyFont="1" applyFill="1" applyBorder="1"/>
    <xf numFmtId="168" fontId="77" fillId="41" borderId="17" xfId="0" applyFont="1" applyFill="1" applyBorder="1"/>
    <xf numFmtId="168" fontId="77" fillId="41" borderId="13" xfId="0" applyFont="1" applyFill="1" applyBorder="1"/>
    <xf numFmtId="168" fontId="77" fillId="41" borderId="36" xfId="0" applyFont="1" applyFill="1" applyBorder="1"/>
    <xf numFmtId="0" fontId="72" fillId="41" borderId="26" xfId="66" applyFont="1" applyFill="1" applyBorder="1"/>
    <xf numFmtId="0" fontId="72" fillId="41" borderId="19" xfId="66" applyFont="1" applyFill="1" applyBorder="1"/>
    <xf numFmtId="0" fontId="72" fillId="41" borderId="27" xfId="66" applyFont="1" applyFill="1" applyBorder="1"/>
    <xf numFmtId="168" fontId="76" fillId="41" borderId="19" xfId="0" applyFont="1" applyFill="1" applyBorder="1"/>
    <xf numFmtId="168" fontId="76" fillId="41" borderId="27" xfId="0" applyFont="1" applyFill="1" applyBorder="1"/>
    <xf numFmtId="0" fontId="40" fillId="36" borderId="15" xfId="69" applyFont="1" applyFill="1" applyBorder="1">
      <alignment vertical="top"/>
    </xf>
    <xf numFmtId="0" fontId="40" fillId="0" borderId="15" xfId="69" applyFont="1" applyBorder="1">
      <alignment vertical="top"/>
    </xf>
    <xf numFmtId="0" fontId="40" fillId="0" borderId="17" xfId="69" applyFont="1" applyBorder="1">
      <alignment vertical="top"/>
    </xf>
    <xf numFmtId="0" fontId="78" fillId="0" borderId="15" xfId="69" applyFont="1" applyBorder="1">
      <alignment vertical="top"/>
    </xf>
    <xf numFmtId="0" fontId="40" fillId="36" borderId="17" xfId="69" applyFont="1" applyFill="1" applyBorder="1">
      <alignment vertical="top"/>
    </xf>
    <xf numFmtId="0" fontId="78" fillId="0" borderId="14" xfId="69" applyFont="1" applyBorder="1">
      <alignment vertical="top"/>
    </xf>
    <xf numFmtId="0" fontId="78" fillId="41" borderId="37" xfId="68" applyFont="1" applyFill="1" applyBorder="1"/>
    <xf numFmtId="0" fontId="78" fillId="41" borderId="38" xfId="68" applyFont="1" applyFill="1" applyBorder="1"/>
    <xf numFmtId="2" fontId="22" fillId="46" borderId="18" xfId="70" applyNumberFormat="1" applyFont="1" applyFill="1" applyBorder="1" applyAlignment="1">
      <alignment horizontal="right" vertical="center"/>
    </xf>
    <xf numFmtId="10" fontId="22" fillId="46" borderId="16" xfId="0" applyNumberFormat="1" applyFont="1" applyFill="1" applyBorder="1"/>
    <xf numFmtId="10" fontId="40" fillId="0" borderId="16" xfId="0" applyNumberFormat="1" applyFont="1" applyBorder="1"/>
    <xf numFmtId="10" fontId="78" fillId="0" borderId="16" xfId="71" applyNumberFormat="1" applyFont="1" applyFill="1" applyBorder="1" applyAlignment="1">
      <alignment horizontal="right" vertical="center"/>
    </xf>
    <xf numFmtId="10" fontId="78" fillId="0" borderId="12" xfId="66" applyNumberFormat="1" applyFont="1" applyBorder="1" applyAlignment="1">
      <alignment horizontal="right"/>
    </xf>
    <xf numFmtId="0" fontId="78" fillId="0" borderId="39" xfId="69" applyFont="1" applyBorder="1">
      <alignment vertical="top"/>
    </xf>
    <xf numFmtId="10" fontId="1" fillId="0" borderId="33" xfId="0" applyNumberFormat="1" applyFont="1" applyBorder="1"/>
    <xf numFmtId="10" fontId="22" fillId="44" borderId="16" xfId="0" applyNumberFormat="1" applyFont="1" applyFill="1" applyBorder="1"/>
    <xf numFmtId="10" fontId="78" fillId="44" borderId="12" xfId="66" applyNumberFormat="1" applyFont="1" applyFill="1" applyBorder="1" applyAlignment="1">
      <alignment horizontal="right"/>
    </xf>
    <xf numFmtId="0" fontId="78" fillId="0" borderId="0" xfId="69" applyFont="1">
      <alignment vertical="top"/>
    </xf>
    <xf numFmtId="10" fontId="78" fillId="0" borderId="0" xfId="66" applyNumberFormat="1" applyFont="1" applyAlignment="1">
      <alignment horizontal="right"/>
    </xf>
    <xf numFmtId="0" fontId="40" fillId="36" borderId="0" xfId="69" applyFont="1" applyFill="1">
      <alignment vertical="top"/>
    </xf>
    <xf numFmtId="10" fontId="22" fillId="36" borderId="0" xfId="0" applyNumberFormat="1" applyFont="1" applyFill="1"/>
    <xf numFmtId="0" fontId="78" fillId="36" borderId="0" xfId="69" applyFont="1" applyFill="1">
      <alignment vertical="top"/>
    </xf>
    <xf numFmtId="10" fontId="78" fillId="36" borderId="0" xfId="71" applyNumberFormat="1" applyFont="1" applyFill="1" applyBorder="1" applyAlignment="1">
      <alignment horizontal="right" vertical="center"/>
    </xf>
    <xf numFmtId="10" fontId="78" fillId="36" borderId="0" xfId="66" applyNumberFormat="1" applyFont="1" applyFill="1" applyAlignment="1">
      <alignment horizontal="right"/>
    </xf>
    <xf numFmtId="10" fontId="1" fillId="36" borderId="0" xfId="0" applyNumberFormat="1" applyFont="1" applyFill="1"/>
    <xf numFmtId="168" fontId="55" fillId="41" borderId="29" xfId="0" applyFont="1" applyFill="1" applyBorder="1"/>
    <xf numFmtId="178" fontId="82" fillId="47" borderId="29" xfId="4" applyFont="1" applyFill="1" applyBorder="1"/>
    <xf numFmtId="168" fontId="54" fillId="0" borderId="23" xfId="0" applyFont="1" applyBorder="1"/>
    <xf numFmtId="168" fontId="55" fillId="0" borderId="23" xfId="0" applyFont="1" applyBorder="1"/>
    <xf numFmtId="168" fontId="23" fillId="0" borderId="0" xfId="0" applyFont="1" applyAlignment="1">
      <alignment horizontal="center"/>
    </xf>
    <xf numFmtId="168" fontId="0" fillId="0" borderId="0" xfId="0" applyAlignment="1">
      <alignment horizontal="center"/>
    </xf>
    <xf numFmtId="168" fontId="84" fillId="0" borderId="0" xfId="0" applyFont="1"/>
    <xf numFmtId="168" fontId="86" fillId="0" borderId="0" xfId="0" applyFont="1"/>
    <xf numFmtId="10" fontId="86" fillId="0" borderId="0" xfId="0" applyNumberFormat="1" applyFont="1"/>
    <xf numFmtId="168" fontId="87" fillId="0" borderId="0" xfId="0" applyFont="1"/>
    <xf numFmtId="168" fontId="88" fillId="0" borderId="0" xfId="0" applyFont="1"/>
    <xf numFmtId="168" fontId="91" fillId="0" borderId="0" xfId="0" applyFont="1"/>
    <xf numFmtId="1" fontId="0" fillId="0" borderId="0" xfId="0" applyNumberFormat="1"/>
    <xf numFmtId="168" fontId="89" fillId="47" borderId="0" xfId="0" applyFont="1" applyFill="1"/>
    <xf numFmtId="10" fontId="1" fillId="46" borderId="33" xfId="0" applyNumberFormat="1" applyFont="1" applyFill="1" applyBorder="1"/>
    <xf numFmtId="10" fontId="78" fillId="47" borderId="12" xfId="66" applyNumberFormat="1" applyFont="1" applyFill="1" applyBorder="1" applyAlignment="1">
      <alignment horizontal="right"/>
    </xf>
    <xf numFmtId="168" fontId="3" fillId="0" borderId="0" xfId="0" applyFont="1"/>
    <xf numFmtId="180" fontId="1" fillId="0" borderId="0" xfId="0" applyNumberFormat="1" applyFont="1"/>
    <xf numFmtId="175" fontId="1" fillId="0" borderId="0" xfId="0" applyNumberFormat="1" applyFont="1"/>
    <xf numFmtId="169" fontId="54" fillId="47" borderId="0" xfId="52" applyFont="1" applyFill="1">
      <alignment horizontal="left" vertical="center"/>
    </xf>
    <xf numFmtId="168" fontId="92" fillId="47" borderId="0" xfId="0" applyFont="1" applyFill="1"/>
    <xf numFmtId="168" fontId="72" fillId="47" borderId="0" xfId="0" applyFont="1" applyFill="1"/>
    <xf numFmtId="168" fontId="76" fillId="47" borderId="0" xfId="0" applyFont="1" applyFill="1"/>
    <xf numFmtId="168" fontId="59" fillId="47" borderId="0" xfId="0" applyFont="1" applyFill="1" applyAlignment="1">
      <alignment horizontal="left"/>
    </xf>
    <xf numFmtId="168" fontId="93" fillId="47" borderId="0" xfId="0" applyFont="1" applyFill="1"/>
    <xf numFmtId="168" fontId="72" fillId="47" borderId="0" xfId="0" applyFont="1" applyFill="1" applyAlignment="1">
      <alignment horizontal="center"/>
    </xf>
    <xf numFmtId="169" fontId="72" fillId="47" borderId="0" xfId="52" applyFont="1" applyFill="1">
      <alignment horizontal="left" vertical="center"/>
    </xf>
    <xf numFmtId="168" fontId="71" fillId="0" borderId="0" xfId="0" applyFont="1" applyAlignment="1">
      <alignment horizontal="left" indent="1"/>
    </xf>
    <xf numFmtId="168" fontId="72" fillId="47" borderId="32" xfId="0" applyFont="1" applyFill="1" applyBorder="1"/>
    <xf numFmtId="168" fontId="55" fillId="0" borderId="32" xfId="0" applyFont="1" applyBorder="1"/>
    <xf numFmtId="168" fontId="76" fillId="47" borderId="32" xfId="0" applyFont="1" applyFill="1" applyBorder="1"/>
    <xf numFmtId="168" fontId="59" fillId="36" borderId="0" xfId="0" applyFont="1" applyFill="1"/>
    <xf numFmtId="168" fontId="92" fillId="36" borderId="0" xfId="0" applyFont="1" applyFill="1"/>
    <xf numFmtId="10" fontId="60" fillId="0" borderId="0" xfId="0" applyNumberFormat="1" applyFont="1"/>
    <xf numFmtId="168" fontId="95" fillId="47" borderId="0" xfId="0" applyFont="1" applyFill="1"/>
    <xf numFmtId="37" fontId="49" fillId="35" borderId="0" xfId="0" applyNumberFormat="1" applyFont="1" applyFill="1"/>
    <xf numFmtId="37" fontId="1" fillId="35" borderId="0" xfId="0" applyNumberFormat="1" applyFont="1" applyFill="1"/>
    <xf numFmtId="37" fontId="1" fillId="35" borderId="0" xfId="0" quotePrefix="1" applyNumberFormat="1" applyFont="1" applyFill="1"/>
    <xf numFmtId="37" fontId="23" fillId="35" borderId="0" xfId="64" applyNumberFormat="1" applyFont="1" applyFill="1" applyAlignment="1">
      <alignment horizontal="center"/>
    </xf>
    <xf numFmtId="37" fontId="54" fillId="35" borderId="0" xfId="64" applyNumberFormat="1" applyFont="1" applyFill="1" applyAlignment="1">
      <alignment horizontal="center"/>
    </xf>
    <xf numFmtId="37" fontId="22" fillId="35" borderId="0" xfId="0" applyNumberFormat="1" applyFont="1" applyFill="1"/>
    <xf numFmtId="37" fontId="22" fillId="35" borderId="0" xfId="0" quotePrefix="1" applyNumberFormat="1" applyFont="1" applyFill="1"/>
    <xf numFmtId="37" fontId="49" fillId="35" borderId="0" xfId="0" quotePrefix="1" applyNumberFormat="1" applyFont="1" applyFill="1"/>
    <xf numFmtId="37" fontId="33" fillId="35" borderId="0" xfId="0" applyNumberFormat="1" applyFont="1" applyFill="1"/>
    <xf numFmtId="37" fontId="50" fillId="35" borderId="0" xfId="0" applyNumberFormat="1" applyFont="1" applyFill="1"/>
    <xf numFmtId="37" fontId="50" fillId="35" borderId="0" xfId="0" quotePrefix="1" applyNumberFormat="1" applyFont="1" applyFill="1"/>
    <xf numFmtId="37" fontId="54" fillId="0" borderId="0" xfId="64" applyNumberFormat="1" applyFont="1"/>
    <xf numFmtId="37" fontId="46" fillId="0" borderId="0" xfId="64" applyNumberFormat="1" applyFont="1" applyAlignment="1">
      <alignment horizontal="center"/>
    </xf>
    <xf numFmtId="37" fontId="22" fillId="0" borderId="0" xfId="64" applyNumberFormat="1" applyFont="1" applyAlignment="1">
      <alignment horizontal="center"/>
    </xf>
    <xf numFmtId="37" fontId="22" fillId="0" borderId="0" xfId="0" applyNumberFormat="1" applyFont="1" applyAlignment="1">
      <alignment horizontal="center"/>
    </xf>
    <xf numFmtId="37" fontId="46" fillId="0" borderId="0" xfId="0" applyNumberFormat="1" applyFont="1" applyAlignment="1">
      <alignment horizontal="center"/>
    </xf>
    <xf numFmtId="37" fontId="22" fillId="0" borderId="0" xfId="4" applyNumberFormat="1" applyFont="1" applyAlignment="1">
      <alignment horizontal="center"/>
    </xf>
    <xf numFmtId="37" fontId="46" fillId="0" borderId="0" xfId="64" applyNumberFormat="1" applyFont="1"/>
    <xf numFmtId="190" fontId="55" fillId="0" borderId="0" xfId="0" applyNumberFormat="1" applyFont="1"/>
    <xf numFmtId="187" fontId="0" fillId="0" borderId="0" xfId="0" applyNumberFormat="1"/>
    <xf numFmtId="10" fontId="0" fillId="0" borderId="0" xfId="4" applyNumberFormat="1" applyFont="1" applyFill="1" applyBorder="1"/>
    <xf numFmtId="37" fontId="55" fillId="35" borderId="0" xfId="0" applyNumberFormat="1" applyFont="1" applyFill="1"/>
    <xf numFmtId="37" fontId="48" fillId="35" borderId="0" xfId="0" applyNumberFormat="1" applyFont="1" applyFill="1"/>
    <xf numFmtId="189" fontId="22" fillId="35" borderId="13" xfId="0" applyNumberFormat="1" applyFont="1" applyFill="1" applyBorder="1"/>
    <xf numFmtId="37" fontId="55" fillId="35" borderId="19" xfId="0" applyNumberFormat="1" applyFont="1" applyFill="1" applyBorder="1"/>
    <xf numFmtId="37" fontId="55" fillId="35" borderId="23" xfId="0" applyNumberFormat="1" applyFont="1" applyFill="1" applyBorder="1"/>
    <xf numFmtId="39" fontId="55" fillId="35" borderId="0" xfId="0" applyNumberFormat="1" applyFont="1" applyFill="1"/>
    <xf numFmtId="168" fontId="55" fillId="47" borderId="29" xfId="0" applyFont="1" applyFill="1" applyBorder="1"/>
    <xf numFmtId="10" fontId="0" fillId="0" borderId="0" xfId="0" applyNumberFormat="1"/>
    <xf numFmtId="168" fontId="76" fillId="36" borderId="0" xfId="0" applyFont="1" applyFill="1"/>
    <xf numFmtId="10" fontId="57" fillId="36" borderId="0" xfId="4" applyNumberFormat="1" applyFont="1" applyFill="1" applyBorder="1"/>
    <xf numFmtId="2" fontId="56" fillId="36" borderId="0" xfId="4" applyNumberFormat="1" applyFont="1" applyFill="1" applyBorder="1"/>
    <xf numFmtId="178" fontId="57" fillId="36" borderId="0" xfId="4" applyFont="1" applyFill="1" applyBorder="1"/>
    <xf numFmtId="178" fontId="55" fillId="36" borderId="0" xfId="4" applyFont="1" applyFill="1" applyBorder="1"/>
    <xf numFmtId="10" fontId="56" fillId="36" borderId="0" xfId="4" applyNumberFormat="1" applyFont="1" applyFill="1" applyBorder="1"/>
    <xf numFmtId="178" fontId="0" fillId="36" borderId="0" xfId="4" applyFont="1" applyFill="1"/>
    <xf numFmtId="178" fontId="56" fillId="36" borderId="0" xfId="4" applyFont="1" applyFill="1" applyBorder="1"/>
    <xf numFmtId="165" fontId="55" fillId="36" borderId="0" xfId="4" applyNumberFormat="1" applyFont="1" applyFill="1" applyBorder="1"/>
    <xf numFmtId="188" fontId="47" fillId="36" borderId="0" xfId="4" applyNumberFormat="1" applyFont="1" applyFill="1" applyBorder="1" applyAlignment="1">
      <alignment horizontal="right"/>
    </xf>
    <xf numFmtId="168" fontId="72" fillId="36" borderId="0" xfId="0" applyFont="1" applyFill="1"/>
    <xf numFmtId="3" fontId="56" fillId="36" borderId="0" xfId="0" applyNumberFormat="1" applyFont="1" applyFill="1"/>
    <xf numFmtId="2" fontId="57" fillId="36" borderId="0" xfId="4" applyNumberFormat="1" applyFont="1" applyFill="1" applyBorder="1"/>
    <xf numFmtId="168" fontId="55" fillId="36" borderId="0" xfId="0" applyFont="1" applyFill="1"/>
    <xf numFmtId="178" fontId="0" fillId="36" borderId="0" xfId="4" applyFont="1" applyFill="1" applyBorder="1"/>
    <xf numFmtId="165" fontId="2" fillId="36" borderId="0" xfId="4" applyNumberFormat="1" applyFont="1" applyFill="1" applyBorder="1"/>
    <xf numFmtId="178" fontId="26" fillId="36" borderId="0" xfId="4" applyFont="1" applyFill="1" applyBorder="1"/>
    <xf numFmtId="168" fontId="58" fillId="36" borderId="0" xfId="0" applyFont="1" applyFill="1"/>
    <xf numFmtId="168" fontId="47" fillId="36" borderId="0" xfId="0" applyFont="1" applyFill="1"/>
    <xf numFmtId="168" fontId="54" fillId="36" borderId="0" xfId="0" applyFont="1" applyFill="1"/>
    <xf numFmtId="168" fontId="55" fillId="36" borderId="0" xfId="0" applyFont="1" applyFill="1" applyAlignment="1">
      <alignment horizontal="right"/>
    </xf>
    <xf numFmtId="168" fontId="54" fillId="36" borderId="0" xfId="0" applyFont="1" applyFill="1" applyAlignment="1">
      <alignment horizontal="right"/>
    </xf>
    <xf numFmtId="168" fontId="47" fillId="36" borderId="0" xfId="0" applyFont="1" applyFill="1" applyAlignment="1">
      <alignment horizontal="right"/>
    </xf>
    <xf numFmtId="168" fontId="56" fillId="36" borderId="0" xfId="0" applyFont="1" applyFill="1"/>
    <xf numFmtId="2" fontId="47" fillId="36" borderId="0" xfId="4" applyNumberFormat="1" applyFont="1" applyFill="1" applyBorder="1"/>
    <xf numFmtId="2" fontId="71" fillId="36" borderId="0" xfId="4" applyNumberFormat="1" applyFont="1" applyFill="1" applyBorder="1"/>
    <xf numFmtId="165" fontId="1" fillId="36" borderId="0" xfId="0" applyNumberFormat="1" applyFont="1" applyFill="1"/>
    <xf numFmtId="165" fontId="0" fillId="36" borderId="0" xfId="0" applyNumberFormat="1" applyFill="1"/>
    <xf numFmtId="178" fontId="1" fillId="36" borderId="0" xfId="4" applyFont="1" applyFill="1" applyBorder="1"/>
    <xf numFmtId="168" fontId="49" fillId="0" borderId="40" xfId="0" applyFont="1" applyBorder="1" applyAlignment="1">
      <alignment horizontal="right"/>
    </xf>
    <xf numFmtId="168" fontId="22" fillId="37" borderId="41" xfId="0" applyFont="1" applyFill="1" applyBorder="1" applyAlignment="1">
      <alignment horizontal="right"/>
    </xf>
    <xf numFmtId="168" fontId="55" fillId="0" borderId="40" xfId="0" applyFont="1" applyBorder="1"/>
    <xf numFmtId="10" fontId="22" fillId="37" borderId="40" xfId="0" applyNumberFormat="1" applyFont="1" applyFill="1" applyBorder="1" applyAlignment="1">
      <alignment horizontal="right"/>
    </xf>
    <xf numFmtId="168" fontId="55" fillId="0" borderId="40" xfId="0" applyFont="1" applyBorder="1" applyAlignment="1">
      <alignment horizontal="right"/>
    </xf>
    <xf numFmtId="178" fontId="56" fillId="0" borderId="40" xfId="4" applyFont="1" applyBorder="1" applyAlignment="1">
      <alignment horizontal="right"/>
    </xf>
    <xf numFmtId="178" fontId="56" fillId="0" borderId="41" xfId="4" applyFont="1" applyBorder="1" applyAlignment="1">
      <alignment horizontal="right"/>
    </xf>
    <xf numFmtId="168" fontId="22" fillId="37" borderId="42" xfId="0" applyFont="1" applyFill="1" applyBorder="1" applyAlignment="1">
      <alignment horizontal="right"/>
    </xf>
    <xf numFmtId="168" fontId="60" fillId="0" borderId="40" xfId="0" applyFont="1" applyBorder="1"/>
    <xf numFmtId="183" fontId="70" fillId="0" borderId="40" xfId="4" applyNumberFormat="1" applyFont="1" applyBorder="1"/>
    <xf numFmtId="168" fontId="60" fillId="0" borderId="42" xfId="0" applyFont="1" applyBorder="1"/>
    <xf numFmtId="168" fontId="75" fillId="0" borderId="40" xfId="0" applyFont="1" applyBorder="1"/>
    <xf numFmtId="168" fontId="60" fillId="0" borderId="43" xfId="0" applyFont="1" applyBorder="1"/>
    <xf numFmtId="178" fontId="60" fillId="47" borderId="44" xfId="4" applyFont="1" applyFill="1" applyBorder="1"/>
    <xf numFmtId="168" fontId="63" fillId="36" borderId="0" xfId="0" applyFont="1" applyFill="1"/>
    <xf numFmtId="168" fontId="23" fillId="36" borderId="0" xfId="0" applyFont="1" applyFill="1"/>
    <xf numFmtId="4" fontId="0" fillId="0" borderId="0" xfId="0" applyNumberFormat="1"/>
    <xf numFmtId="0" fontId="0" fillId="0" borderId="0" xfId="0" applyNumberFormat="1"/>
    <xf numFmtId="168" fontId="39" fillId="0" borderId="0" xfId="0" applyFont="1" applyAlignment="1">
      <alignment horizontal="center"/>
    </xf>
    <xf numFmtId="169" fontId="54" fillId="0" borderId="0" xfId="52" applyFont="1" applyFill="1">
      <alignment horizontal="left" vertical="center"/>
    </xf>
    <xf numFmtId="169" fontId="0" fillId="0" borderId="0" xfId="52" applyNumberFormat="1" applyFont="1" applyFill="1">
      <alignment horizontal="left" vertical="center"/>
    </xf>
    <xf numFmtId="168" fontId="96" fillId="48" borderId="45" xfId="0" applyFont="1" applyFill="1" applyBorder="1" applyAlignment="1">
      <alignment wrapText="1"/>
    </xf>
    <xf numFmtId="168" fontId="96" fillId="40" borderId="45" xfId="0" applyFont="1" applyFill="1" applyBorder="1" applyAlignment="1">
      <alignment wrapText="1"/>
    </xf>
    <xf numFmtId="168" fontId="97" fillId="40" borderId="45" xfId="0" applyFont="1" applyFill="1" applyBorder="1" applyAlignment="1">
      <alignment wrapText="1"/>
    </xf>
    <xf numFmtId="168" fontId="97" fillId="40" borderId="45" xfId="0" quotePrefix="1" applyFont="1" applyFill="1" applyBorder="1" applyAlignment="1">
      <alignment wrapText="1"/>
    </xf>
    <xf numFmtId="168" fontId="0" fillId="0" borderId="46" xfId="0" applyBorder="1"/>
    <xf numFmtId="168" fontId="0" fillId="0" borderId="33" xfId="0" applyBorder="1"/>
    <xf numFmtId="10" fontId="0" fillId="0" borderId="32" xfId="0" applyNumberFormat="1" applyBorder="1"/>
    <xf numFmtId="168" fontId="0" fillId="0" borderId="47" xfId="0" applyBorder="1"/>
    <xf numFmtId="168" fontId="0" fillId="47" borderId="49" xfId="0" applyFill="1" applyBorder="1" applyAlignment="1">
      <alignment horizontal="center"/>
    </xf>
    <xf numFmtId="168" fontId="0" fillId="47" borderId="50" xfId="0" applyFill="1" applyBorder="1"/>
    <xf numFmtId="168" fontId="1" fillId="0" borderId="47" xfId="0" applyFont="1" applyBorder="1"/>
    <xf numFmtId="168" fontId="1" fillId="0" borderId="33" xfId="0" applyFont="1" applyBorder="1"/>
    <xf numFmtId="168" fontId="0" fillId="47" borderId="24" xfId="0" applyFill="1" applyBorder="1"/>
    <xf numFmtId="168" fontId="1" fillId="47" borderId="49" xfId="0" applyFont="1" applyFill="1" applyBorder="1"/>
    <xf numFmtId="168" fontId="0" fillId="0" borderId="53" xfId="0" applyBorder="1"/>
    <xf numFmtId="168" fontId="1" fillId="0" borderId="53" xfId="0" applyFont="1" applyBorder="1"/>
    <xf numFmtId="168" fontId="1" fillId="0" borderId="51" xfId="0" applyFont="1" applyBorder="1"/>
    <xf numFmtId="10" fontId="0" fillId="0" borderId="51" xfId="0" applyNumberFormat="1" applyBorder="1"/>
    <xf numFmtId="168" fontId="0" fillId="0" borderId="48" xfId="0" applyBorder="1"/>
    <xf numFmtId="168" fontId="0" fillId="0" borderId="55" xfId="0" applyBorder="1"/>
    <xf numFmtId="168" fontId="23" fillId="0" borderId="32" xfId="0" applyFont="1" applyBorder="1" applyAlignment="1">
      <alignment horizontal="center"/>
    </xf>
    <xf numFmtId="10" fontId="86" fillId="0" borderId="32" xfId="0" applyNumberFormat="1" applyFont="1" applyBorder="1"/>
    <xf numFmtId="168" fontId="23" fillId="0" borderId="46" xfId="0" applyFont="1" applyBorder="1" applyAlignment="1">
      <alignment horizontal="center"/>
    </xf>
    <xf numFmtId="168" fontId="88" fillId="0" borderId="32" xfId="0" applyFont="1" applyBorder="1"/>
    <xf numFmtId="168" fontId="85" fillId="43" borderId="47" xfId="0" applyFont="1" applyFill="1" applyBorder="1"/>
    <xf numFmtId="168" fontId="88" fillId="0" borderId="47" xfId="0" applyFont="1" applyBorder="1"/>
    <xf numFmtId="168" fontId="84" fillId="0" borderId="52" xfId="0" applyFont="1" applyBorder="1"/>
    <xf numFmtId="168" fontId="98" fillId="0" borderId="32" xfId="0" applyFont="1" applyBorder="1"/>
    <xf numFmtId="168" fontId="87" fillId="0" borderId="49" xfId="0" applyFont="1" applyBorder="1"/>
    <xf numFmtId="168" fontId="0" fillId="0" borderId="49" xfId="0" applyBorder="1"/>
    <xf numFmtId="168" fontId="91" fillId="0" borderId="49" xfId="0" applyFont="1" applyBorder="1"/>
    <xf numFmtId="168" fontId="0" fillId="0" borderId="50" xfId="0" applyBorder="1"/>
    <xf numFmtId="168" fontId="87" fillId="0" borderId="50" xfId="0" applyFont="1" applyBorder="1"/>
    <xf numFmtId="168" fontId="91" fillId="0" borderId="50" xfId="0" applyFont="1" applyBorder="1"/>
    <xf numFmtId="10" fontId="86" fillId="0" borderId="50" xfId="0" applyNumberFormat="1" applyFont="1" applyBorder="1"/>
    <xf numFmtId="168" fontId="88" fillId="0" borderId="49" xfId="0" applyFont="1" applyBorder="1"/>
    <xf numFmtId="168" fontId="83" fillId="0" borderId="49" xfId="0" applyFont="1" applyBorder="1"/>
    <xf numFmtId="168" fontId="99" fillId="0" borderId="47" xfId="0" applyFont="1" applyBorder="1"/>
    <xf numFmtId="168" fontId="99" fillId="0" borderId="50" xfId="0" applyFont="1" applyBorder="1"/>
    <xf numFmtId="10" fontId="100" fillId="47" borderId="47" xfId="0" applyNumberFormat="1" applyFont="1" applyFill="1" applyBorder="1"/>
    <xf numFmtId="168" fontId="90" fillId="47" borderId="47" xfId="0" applyFont="1" applyFill="1" applyBorder="1"/>
    <xf numFmtId="168" fontId="39" fillId="47" borderId="47" xfId="0" applyFont="1" applyFill="1" applyBorder="1" applyAlignment="1">
      <alignment horizontal="center"/>
    </xf>
    <xf numFmtId="168" fontId="39" fillId="47" borderId="52" xfId="0" applyFont="1" applyFill="1" applyBorder="1" applyAlignment="1">
      <alignment horizontal="center"/>
    </xf>
    <xf numFmtId="168" fontId="61" fillId="0" borderId="0" xfId="0" applyFont="1"/>
    <xf numFmtId="168" fontId="101" fillId="0" borderId="0" xfId="0" applyFont="1"/>
    <xf numFmtId="168" fontId="101" fillId="0" borderId="15" xfId="0" applyFont="1" applyBorder="1"/>
    <xf numFmtId="168" fontId="102" fillId="0" borderId="0" xfId="0" applyFont="1"/>
    <xf numFmtId="168" fontId="103" fillId="0" borderId="0" xfId="0" applyFont="1" applyAlignment="1">
      <alignment horizontal="right"/>
    </xf>
    <xf numFmtId="168" fontId="101" fillId="35" borderId="15" xfId="0" applyFont="1" applyFill="1" applyBorder="1"/>
    <xf numFmtId="168" fontId="101" fillId="35" borderId="0" xfId="0" applyFont="1" applyFill="1"/>
    <xf numFmtId="178" fontId="101" fillId="0" borderId="0" xfId="4" applyFont="1" applyAlignment="1">
      <alignment horizontal="right"/>
    </xf>
    <xf numFmtId="178" fontId="101" fillId="35" borderId="15" xfId="4" applyFont="1" applyFill="1" applyBorder="1"/>
    <xf numFmtId="178" fontId="101" fillId="35" borderId="0" xfId="4" applyFont="1" applyFill="1" applyBorder="1"/>
    <xf numFmtId="178" fontId="104" fillId="0" borderId="13" xfId="4" applyFont="1" applyBorder="1"/>
    <xf numFmtId="178" fontId="104" fillId="35" borderId="17" xfId="4" applyFont="1" applyFill="1" applyBorder="1"/>
    <xf numFmtId="178" fontId="104" fillId="35" borderId="13" xfId="4" applyFont="1" applyFill="1" applyBorder="1"/>
    <xf numFmtId="168" fontId="105" fillId="0" borderId="0" xfId="0" applyFont="1"/>
    <xf numFmtId="168" fontId="105" fillId="0" borderId="19" xfId="0" applyFont="1" applyBorder="1"/>
    <xf numFmtId="168" fontId="105" fillId="0" borderId="15" xfId="0" applyFont="1" applyBorder="1"/>
    <xf numFmtId="168" fontId="104" fillId="0" borderId="0" xfId="0" applyFont="1"/>
    <xf numFmtId="168" fontId="104" fillId="0" borderId="15" xfId="0" applyFont="1" applyBorder="1"/>
    <xf numFmtId="165" fontId="106" fillId="0" borderId="0" xfId="0" applyNumberFormat="1" applyFont="1" applyAlignment="1">
      <alignment horizontal="center"/>
    </xf>
    <xf numFmtId="178" fontId="107" fillId="0" borderId="0" xfId="4" applyFont="1"/>
    <xf numFmtId="10" fontId="104" fillId="35" borderId="15" xfId="4" applyNumberFormat="1" applyFont="1" applyFill="1" applyBorder="1"/>
    <xf numFmtId="10" fontId="104" fillId="35" borderId="0" xfId="4" applyNumberFormat="1" applyFont="1" applyFill="1" applyBorder="1"/>
    <xf numFmtId="165" fontId="106" fillId="0" borderId="0" xfId="0" applyNumberFormat="1" applyFont="1" applyAlignment="1">
      <alignment horizontal="center" vertical="center" readingOrder="1"/>
    </xf>
    <xf numFmtId="178" fontId="104" fillId="35" borderId="15" xfId="4" applyFont="1" applyFill="1" applyBorder="1"/>
    <xf numFmtId="178" fontId="104" fillId="35" borderId="0" xfId="4" applyFont="1" applyFill="1"/>
    <xf numFmtId="178" fontId="102" fillId="35" borderId="0" xfId="4" applyFont="1" applyFill="1"/>
    <xf numFmtId="178" fontId="104" fillId="35" borderId="0" xfId="4" applyFont="1" applyFill="1" applyBorder="1"/>
    <xf numFmtId="165" fontId="108" fillId="0" borderId="0" xfId="4" applyNumberFormat="1" applyFont="1"/>
    <xf numFmtId="165" fontId="108" fillId="35" borderId="15" xfId="4" applyNumberFormat="1" applyFont="1" applyFill="1" applyBorder="1"/>
    <xf numFmtId="165" fontId="108" fillId="35" borderId="0" xfId="4" applyNumberFormat="1" applyFont="1" applyFill="1"/>
    <xf numFmtId="178" fontId="107" fillId="35" borderId="15" xfId="4" applyFont="1" applyFill="1" applyBorder="1"/>
    <xf numFmtId="178" fontId="107" fillId="35" borderId="0" xfId="4" applyFont="1" applyFill="1"/>
    <xf numFmtId="3" fontId="103" fillId="0" borderId="0" xfId="0" applyNumberFormat="1" applyFont="1"/>
    <xf numFmtId="3" fontId="109" fillId="36" borderId="15" xfId="0" applyNumberFormat="1" applyFont="1" applyFill="1" applyBorder="1"/>
    <xf numFmtId="168" fontId="101" fillId="0" borderId="13" xfId="0" applyFont="1" applyBorder="1"/>
    <xf numFmtId="178" fontId="104" fillId="0" borderId="36" xfId="4" applyFont="1" applyBorder="1"/>
    <xf numFmtId="178" fontId="104" fillId="0" borderId="0" xfId="4" applyFont="1" applyBorder="1"/>
    <xf numFmtId="178" fontId="109" fillId="35" borderId="15" xfId="4" applyFont="1" applyFill="1" applyBorder="1"/>
    <xf numFmtId="2" fontId="109" fillId="35" borderId="0" xfId="4" applyNumberFormat="1" applyFont="1" applyFill="1" applyBorder="1"/>
    <xf numFmtId="168" fontId="102" fillId="35" borderId="0" xfId="0" applyFont="1" applyFill="1"/>
    <xf numFmtId="2" fontId="110" fillId="0" borderId="0" xfId="0" applyNumberFormat="1" applyFont="1"/>
    <xf numFmtId="2" fontId="109" fillId="0" borderId="0" xfId="4" applyNumberFormat="1" applyFont="1" applyBorder="1"/>
    <xf numFmtId="2" fontId="104" fillId="35" borderId="15" xfId="4" applyNumberFormat="1" applyFont="1" applyFill="1" applyBorder="1"/>
    <xf numFmtId="2" fontId="104" fillId="0" borderId="0" xfId="4" applyNumberFormat="1" applyFont="1" applyBorder="1"/>
    <xf numFmtId="2" fontId="104" fillId="35" borderId="0" xfId="4" applyNumberFormat="1" applyFont="1" applyFill="1" applyBorder="1"/>
    <xf numFmtId="10" fontId="109" fillId="35" borderId="15" xfId="4" applyNumberFormat="1" applyFont="1" applyFill="1" applyBorder="1"/>
    <xf numFmtId="178" fontId="109" fillId="35" borderId="0" xfId="4" applyFont="1" applyFill="1" applyBorder="1"/>
    <xf numFmtId="168" fontId="110" fillId="0" borderId="0" xfId="0" applyFont="1"/>
    <xf numFmtId="2" fontId="109" fillId="35" borderId="15" xfId="4" applyNumberFormat="1" applyFont="1" applyFill="1" applyBorder="1"/>
    <xf numFmtId="10" fontId="109" fillId="35" borderId="0" xfId="4" applyNumberFormat="1" applyFont="1" applyFill="1" applyBorder="1"/>
    <xf numFmtId="178" fontId="101" fillId="0" borderId="0" xfId="4" applyFont="1" applyBorder="1"/>
    <xf numFmtId="2" fontId="109" fillId="0" borderId="0" xfId="4" applyNumberFormat="1" applyFont="1" applyFill="1" applyBorder="1"/>
    <xf numFmtId="178" fontId="101" fillId="0" borderId="0" xfId="4" applyFont="1" applyFill="1"/>
    <xf numFmtId="168" fontId="101" fillId="44" borderId="0" xfId="0" applyFont="1" applyFill="1"/>
    <xf numFmtId="178" fontId="104" fillId="44" borderId="0" xfId="4" applyFont="1" applyFill="1" applyBorder="1"/>
    <xf numFmtId="2" fontId="104" fillId="44" borderId="0" xfId="4" applyNumberFormat="1" applyFont="1" applyFill="1" applyBorder="1"/>
    <xf numFmtId="2" fontId="109" fillId="0" borderId="15" xfId="4" applyNumberFormat="1" applyFont="1" applyFill="1" applyBorder="1"/>
    <xf numFmtId="178" fontId="109" fillId="0" borderId="15" xfId="4" applyFont="1" applyFill="1" applyBorder="1"/>
    <xf numFmtId="178" fontId="109" fillId="0" borderId="0" xfId="4" applyFont="1" applyFill="1" applyBorder="1"/>
    <xf numFmtId="168" fontId="111" fillId="47" borderId="0" xfId="0" applyFont="1" applyFill="1"/>
    <xf numFmtId="178" fontId="104" fillId="0" borderId="15" xfId="4" applyFont="1" applyFill="1" applyBorder="1"/>
    <xf numFmtId="178" fontId="104" fillId="0" borderId="0" xfId="4" applyFont="1" applyFill="1" applyBorder="1"/>
    <xf numFmtId="2" fontId="103" fillId="0" borderId="0" xfId="4" applyNumberFormat="1" applyFont="1"/>
    <xf numFmtId="165" fontId="101" fillId="35" borderId="15" xfId="4" applyNumberFormat="1" applyFont="1" applyFill="1" applyBorder="1"/>
    <xf numFmtId="165" fontId="101" fillId="35" borderId="0" xfId="4" applyNumberFormat="1" applyFont="1" applyFill="1" applyBorder="1"/>
    <xf numFmtId="168" fontId="112" fillId="0" borderId="0" xfId="0" applyFont="1"/>
    <xf numFmtId="168" fontId="113" fillId="0" borderId="0" xfId="0" applyFont="1"/>
    <xf numFmtId="168" fontId="103" fillId="35" borderId="15" xfId="0" applyFont="1" applyFill="1" applyBorder="1"/>
    <xf numFmtId="168" fontId="113" fillId="0" borderId="13" xfId="0" applyFont="1" applyBorder="1"/>
    <xf numFmtId="168" fontId="114" fillId="0" borderId="19" xfId="0" applyFont="1" applyBorder="1" applyAlignment="1">
      <alignment horizontal="right"/>
    </xf>
    <xf numFmtId="168" fontId="115" fillId="0" borderId="0" xfId="0" applyFont="1"/>
    <xf numFmtId="168" fontId="105" fillId="35" borderId="15" xfId="0" applyFont="1" applyFill="1" applyBorder="1"/>
    <xf numFmtId="178" fontId="116" fillId="0" borderId="0" xfId="4" applyFont="1"/>
    <xf numFmtId="168" fontId="116" fillId="0" borderId="0" xfId="0" applyFont="1"/>
    <xf numFmtId="168" fontId="104" fillId="35" borderId="15" xfId="0" applyFont="1" applyFill="1" applyBorder="1"/>
    <xf numFmtId="168" fontId="101" fillId="35" borderId="15" xfId="0" applyFont="1" applyFill="1" applyBorder="1" applyAlignment="1">
      <alignment horizontal="right"/>
    </xf>
    <xf numFmtId="168" fontId="103" fillId="0" borderId="0" xfId="0" applyFont="1"/>
    <xf numFmtId="178" fontId="103" fillId="0" borderId="0" xfId="4" applyFont="1" applyAlignment="1">
      <alignment horizontal="right"/>
    </xf>
    <xf numFmtId="168" fontId="105" fillId="0" borderId="0" xfId="0" applyFont="1" applyAlignment="1">
      <alignment horizontal="right"/>
    </xf>
    <xf numFmtId="168" fontId="115" fillId="0" borderId="0" xfId="0" applyFont="1" applyAlignment="1">
      <alignment horizontal="right"/>
    </xf>
    <xf numFmtId="168" fontId="105" fillId="35" borderId="15" xfId="0" applyFont="1" applyFill="1" applyBorder="1" applyAlignment="1">
      <alignment horizontal="right"/>
    </xf>
    <xf numFmtId="168" fontId="105" fillId="35" borderId="0" xfId="0" applyFont="1" applyFill="1" applyAlignment="1">
      <alignment horizontal="right"/>
    </xf>
    <xf numFmtId="168" fontId="113" fillId="0" borderId="0" xfId="0" applyFont="1" applyAlignment="1">
      <alignment horizontal="right"/>
    </xf>
    <xf numFmtId="168" fontId="113" fillId="35" borderId="15" xfId="0" applyFont="1" applyFill="1" applyBorder="1" applyAlignment="1">
      <alignment horizontal="right"/>
    </xf>
    <xf numFmtId="168" fontId="113" fillId="35" borderId="0" xfId="0" applyFont="1" applyFill="1" applyAlignment="1">
      <alignment horizontal="right"/>
    </xf>
    <xf numFmtId="168" fontId="103" fillId="35" borderId="15" xfId="0" applyFont="1" applyFill="1" applyBorder="1" applyAlignment="1">
      <alignment horizontal="right"/>
    </xf>
    <xf numFmtId="168" fontId="103" fillId="35" borderId="0" xfId="0" applyFont="1" applyFill="1" applyAlignment="1">
      <alignment horizontal="right"/>
    </xf>
    <xf numFmtId="168" fontId="104" fillId="0" borderId="0" xfId="0" applyFont="1" applyAlignment="1">
      <alignment horizontal="right"/>
    </xf>
    <xf numFmtId="168" fontId="104" fillId="35" borderId="15" xfId="0" applyFont="1" applyFill="1" applyBorder="1" applyAlignment="1">
      <alignment horizontal="right"/>
    </xf>
    <xf numFmtId="168" fontId="104" fillId="35" borderId="0" xfId="0" applyFont="1" applyFill="1" applyAlignment="1">
      <alignment horizontal="right"/>
    </xf>
    <xf numFmtId="168" fontId="110" fillId="0" borderId="0" xfId="0" applyFont="1" applyAlignment="1">
      <alignment horizontal="right"/>
    </xf>
    <xf numFmtId="168" fontId="101" fillId="35" borderId="0" xfId="0" applyFont="1" applyFill="1" applyAlignment="1">
      <alignment horizontal="right"/>
    </xf>
    <xf numFmtId="188" fontId="102" fillId="0" borderId="0" xfId="4" applyNumberFormat="1" applyFont="1"/>
    <xf numFmtId="188" fontId="101" fillId="35" borderId="15" xfId="4" applyNumberFormat="1" applyFont="1" applyFill="1" applyBorder="1" applyAlignment="1">
      <alignment horizontal="right"/>
    </xf>
    <xf numFmtId="188" fontId="101" fillId="35" borderId="0" xfId="4" applyNumberFormat="1" applyFont="1" applyFill="1" applyBorder="1" applyAlignment="1">
      <alignment horizontal="right"/>
    </xf>
    <xf numFmtId="168" fontId="102" fillId="0" borderId="13" xfId="0" applyFont="1" applyBorder="1"/>
    <xf numFmtId="168" fontId="113" fillId="0" borderId="13" xfId="0" applyFont="1" applyBorder="1" applyAlignment="1">
      <alignment horizontal="right"/>
    </xf>
    <xf numFmtId="168" fontId="105" fillId="35" borderId="26" xfId="0" applyFont="1" applyFill="1" applyBorder="1" applyAlignment="1">
      <alignment horizontal="right"/>
    </xf>
    <xf numFmtId="168" fontId="105" fillId="35" borderId="19" xfId="0" applyFont="1" applyFill="1" applyBorder="1" applyAlignment="1">
      <alignment horizontal="right"/>
    </xf>
    <xf numFmtId="168" fontId="101" fillId="0" borderId="0" xfId="0" applyFont="1" applyAlignment="1">
      <alignment horizontal="right"/>
    </xf>
    <xf numFmtId="168" fontId="102" fillId="35" borderId="15" xfId="0" applyFont="1" applyFill="1" applyBorder="1"/>
    <xf numFmtId="168" fontId="103" fillId="44" borderId="0" xfId="0" applyFont="1" applyFill="1"/>
    <xf numFmtId="168" fontId="104" fillId="44" borderId="15" xfId="0" applyFont="1" applyFill="1" applyBorder="1"/>
    <xf numFmtId="168" fontId="104" fillId="44" borderId="0" xfId="0" applyFont="1" applyFill="1"/>
    <xf numFmtId="178" fontId="103" fillId="0" borderId="0" xfId="4" applyFont="1"/>
    <xf numFmtId="178" fontId="113" fillId="0" borderId="0" xfId="4" applyFont="1"/>
    <xf numFmtId="2" fontId="113" fillId="0" borderId="0" xfId="4" applyNumberFormat="1" applyFont="1"/>
    <xf numFmtId="2" fontId="101" fillId="0" borderId="0" xfId="4" applyNumberFormat="1" applyFont="1"/>
    <xf numFmtId="2" fontId="101" fillId="35" borderId="0" xfId="4" applyNumberFormat="1" applyFont="1" applyFill="1"/>
    <xf numFmtId="2" fontId="115" fillId="0" borderId="0" xfId="4" applyNumberFormat="1" applyFont="1"/>
    <xf numFmtId="2" fontId="117" fillId="35" borderId="15" xfId="4" applyNumberFormat="1" applyFont="1" applyFill="1" applyBorder="1"/>
    <xf numFmtId="178" fontId="101" fillId="0" borderId="0" xfId="4" applyFont="1"/>
    <xf numFmtId="2" fontId="116" fillId="0" borderId="0" xfId="4" applyNumberFormat="1" applyFont="1"/>
    <xf numFmtId="168" fontId="116" fillId="35" borderId="15" xfId="0" applyFont="1" applyFill="1" applyBorder="1"/>
    <xf numFmtId="168" fontId="112" fillId="35" borderId="15" xfId="0" applyFont="1" applyFill="1" applyBorder="1"/>
    <xf numFmtId="168" fontId="101" fillId="0" borderId="13" xfId="0" applyFont="1" applyBorder="1" applyAlignment="1">
      <alignment horizontal="right"/>
    </xf>
    <xf numFmtId="168" fontId="101" fillId="35" borderId="17" xfId="0" applyFont="1" applyFill="1" applyBorder="1" applyAlignment="1">
      <alignment horizontal="right"/>
    </xf>
    <xf numFmtId="168" fontId="114" fillId="0" borderId="0" xfId="0" applyFont="1" applyAlignment="1">
      <alignment horizontal="right"/>
    </xf>
    <xf numFmtId="168" fontId="107" fillId="0" borderId="0" xfId="0" applyFont="1"/>
    <xf numFmtId="168" fontId="118" fillId="0" borderId="0" xfId="0" applyFont="1"/>
    <xf numFmtId="168" fontId="118" fillId="0" borderId="15" xfId="0" applyFont="1" applyBorder="1"/>
    <xf numFmtId="168" fontId="112" fillId="35" borderId="0" xfId="0" applyFont="1" applyFill="1"/>
    <xf numFmtId="168" fontId="105" fillId="0" borderId="32" xfId="0" applyFont="1" applyBorder="1"/>
    <xf numFmtId="168" fontId="111" fillId="47" borderId="32" xfId="0" applyFont="1" applyFill="1" applyBorder="1"/>
    <xf numFmtId="168" fontId="113" fillId="0" borderId="19" xfId="0" applyFont="1" applyBorder="1" applyAlignment="1">
      <alignment horizontal="right"/>
    </xf>
    <xf numFmtId="169" fontId="119" fillId="47" borderId="0" xfId="52" applyFont="1" applyFill="1">
      <alignment horizontal="left" vertical="center"/>
    </xf>
    <xf numFmtId="10" fontId="111" fillId="47" borderId="0" xfId="0" applyNumberFormat="1" applyFont="1" applyFill="1"/>
    <xf numFmtId="179" fontId="102" fillId="0" borderId="0" xfId="0" applyNumberFormat="1" applyFont="1"/>
    <xf numFmtId="165" fontId="110" fillId="35" borderId="15" xfId="0" applyNumberFormat="1" applyFont="1" applyFill="1" applyBorder="1"/>
    <xf numFmtId="165" fontId="110" fillId="35" borderId="0" xfId="0" applyNumberFormat="1" applyFont="1" applyFill="1"/>
    <xf numFmtId="165" fontId="102" fillId="35" borderId="15" xfId="0" applyNumberFormat="1" applyFont="1" applyFill="1" applyBorder="1"/>
    <xf numFmtId="165" fontId="102" fillId="35" borderId="0" xfId="0" applyNumberFormat="1" applyFont="1" applyFill="1"/>
    <xf numFmtId="173" fontId="102" fillId="0" borderId="0" xfId="4" applyNumberFormat="1" applyFont="1" applyFill="1"/>
    <xf numFmtId="178" fontId="102" fillId="0" borderId="0" xfId="4" applyFont="1" applyFill="1"/>
    <xf numFmtId="178" fontId="110" fillId="35" borderId="15" xfId="4" applyFont="1" applyFill="1" applyBorder="1"/>
    <xf numFmtId="3" fontId="104" fillId="36" borderId="0" xfId="0" applyNumberFormat="1" applyFont="1" applyFill="1"/>
    <xf numFmtId="178" fontId="104" fillId="0" borderId="25" xfId="4" applyFont="1" applyBorder="1"/>
    <xf numFmtId="178" fontId="102" fillId="35" borderId="0" xfId="4" applyFont="1" applyFill="1" applyBorder="1"/>
    <xf numFmtId="168" fontId="111" fillId="47" borderId="33" xfId="0" applyFont="1" applyFill="1" applyBorder="1"/>
    <xf numFmtId="168" fontId="103" fillId="35" borderId="0" xfId="0" applyFont="1" applyFill="1"/>
    <xf numFmtId="168" fontId="105" fillId="35" borderId="0" xfId="0" applyFont="1" applyFill="1"/>
    <xf numFmtId="168" fontId="105" fillId="35" borderId="32" xfId="0" applyFont="1" applyFill="1" applyBorder="1"/>
    <xf numFmtId="168" fontId="104" fillId="35" borderId="0" xfId="0" applyFont="1" applyFill="1"/>
    <xf numFmtId="168" fontId="101" fillId="0" borderId="32" xfId="0" applyFont="1" applyBorder="1"/>
    <xf numFmtId="168" fontId="103" fillId="35" borderId="34" xfId="0" applyFont="1" applyFill="1" applyBorder="1"/>
    <xf numFmtId="168" fontId="103" fillId="35" borderId="25" xfId="0" applyFont="1" applyFill="1" applyBorder="1"/>
    <xf numFmtId="168" fontId="102" fillId="0" borderId="32" xfId="0" applyFont="1" applyBorder="1"/>
    <xf numFmtId="2" fontId="101" fillId="35" borderId="32" xfId="4" applyNumberFormat="1" applyFont="1" applyFill="1" applyBorder="1"/>
    <xf numFmtId="2" fontId="101" fillId="35" borderId="0" xfId="4" applyNumberFormat="1" applyFont="1" applyFill="1" applyBorder="1"/>
    <xf numFmtId="2" fontId="117" fillId="35" borderId="0" xfId="4" applyNumberFormat="1" applyFont="1" applyFill="1" applyBorder="1"/>
    <xf numFmtId="168" fontId="116" fillId="35" borderId="0" xfId="0" applyFont="1" applyFill="1"/>
    <xf numFmtId="168" fontId="105" fillId="35" borderId="24" xfId="0" applyFont="1" applyFill="1" applyBorder="1"/>
    <xf numFmtId="168" fontId="105" fillId="35" borderId="49" xfId="0" applyFont="1" applyFill="1" applyBorder="1"/>
    <xf numFmtId="169" fontId="119" fillId="47" borderId="32" xfId="52" applyFont="1" applyFill="1" applyBorder="1">
      <alignment horizontal="left" vertical="center"/>
    </xf>
    <xf numFmtId="178" fontId="104" fillId="0" borderId="32" xfId="4" applyFont="1" applyFill="1" applyBorder="1"/>
    <xf numFmtId="178" fontId="104" fillId="0" borderId="0" xfId="4" applyFont="1" applyFill="1"/>
    <xf numFmtId="168" fontId="101" fillId="35" borderId="24" xfId="0" applyFont="1" applyFill="1" applyBorder="1"/>
    <xf numFmtId="178" fontId="110" fillId="35" borderId="0" xfId="4" applyFont="1" applyFill="1" applyBorder="1"/>
    <xf numFmtId="37" fontId="22" fillId="0" borderId="0" xfId="0" applyNumberFormat="1" applyFont="1" applyAlignment="1">
      <alignment horizontal="right" vertical="center" readingOrder="1"/>
    </xf>
    <xf numFmtId="37" fontId="49" fillId="35" borderId="15" xfId="0" applyNumberFormat="1" applyFont="1" applyFill="1" applyBorder="1" applyAlignment="1">
      <alignment horizontal="right" vertical="center" wrapText="1" readingOrder="1"/>
    </xf>
    <xf numFmtId="37" fontId="49" fillId="35" borderId="0" xfId="0" applyNumberFormat="1" applyFont="1" applyFill="1" applyAlignment="1">
      <alignment vertical="center" wrapText="1" readingOrder="1"/>
    </xf>
    <xf numFmtId="37" fontId="49" fillId="35" borderId="15" xfId="0" applyNumberFormat="1" applyFont="1" applyFill="1" applyBorder="1" applyAlignment="1">
      <alignment horizontal="right"/>
    </xf>
    <xf numFmtId="37" fontId="49" fillId="35" borderId="0" xfId="0" applyNumberFormat="1" applyFont="1" applyFill="1" applyAlignment="1">
      <alignment horizontal="right"/>
    </xf>
    <xf numFmtId="37" fontId="46" fillId="0" borderId="0" xfId="0" applyNumberFormat="1" applyFont="1" applyAlignment="1">
      <alignment horizontal="right"/>
    </xf>
    <xf numFmtId="37" fontId="23" fillId="35" borderId="15" xfId="0" applyNumberFormat="1" applyFont="1" applyFill="1" applyBorder="1" applyAlignment="1">
      <alignment horizontal="right"/>
    </xf>
    <xf numFmtId="37" fontId="23" fillId="35" borderId="0" xfId="0" applyNumberFormat="1" applyFont="1" applyFill="1" applyAlignment="1">
      <alignment horizontal="right"/>
    </xf>
    <xf numFmtId="37" fontId="22" fillId="0" borderId="0" xfId="0" applyNumberFormat="1" applyFont="1" applyAlignment="1">
      <alignment horizontal="right"/>
    </xf>
    <xf numFmtId="37" fontId="0" fillId="35" borderId="15" xfId="0" applyNumberFormat="1" applyFill="1" applyBorder="1" applyAlignment="1">
      <alignment horizontal="right" vertical="center" readingOrder="1"/>
    </xf>
    <xf numFmtId="37" fontId="0" fillId="35" borderId="0" xfId="0" applyNumberFormat="1" applyFill="1" applyAlignment="1">
      <alignment horizontal="right" vertical="center" readingOrder="1"/>
    </xf>
    <xf numFmtId="37" fontId="22" fillId="0" borderId="0" xfId="0" applyNumberFormat="1" applyFont="1" applyAlignment="1">
      <alignment horizontal="right" vertical="center" wrapText="1" readingOrder="1"/>
    </xf>
    <xf numFmtId="37" fontId="0" fillId="35" borderId="15" xfId="0" applyNumberFormat="1" applyFill="1" applyBorder="1" applyAlignment="1">
      <alignment horizontal="right" vertical="center" wrapText="1" readingOrder="1"/>
    </xf>
    <xf numFmtId="37" fontId="0" fillId="35" borderId="0" xfId="0" applyNumberFormat="1" applyFill="1" applyAlignment="1">
      <alignment horizontal="right" vertical="center" wrapText="1" readingOrder="1"/>
    </xf>
    <xf numFmtId="37" fontId="22" fillId="33" borderId="0" xfId="0" applyNumberFormat="1" applyFont="1" applyFill="1" applyAlignment="1">
      <alignment horizontal="right"/>
    </xf>
    <xf numFmtId="37" fontId="0" fillId="35" borderId="15" xfId="0" applyNumberFormat="1" applyFill="1" applyBorder="1" applyAlignment="1">
      <alignment horizontal="right"/>
    </xf>
    <xf numFmtId="37" fontId="0" fillId="35" borderId="0" xfId="0" applyNumberFormat="1" applyFill="1" applyAlignment="1">
      <alignment horizontal="right"/>
    </xf>
    <xf numFmtId="37" fontId="0" fillId="35" borderId="0" xfId="0" quotePrefix="1" applyNumberFormat="1" applyFill="1" applyAlignment="1">
      <alignment horizontal="right"/>
    </xf>
    <xf numFmtId="37" fontId="22" fillId="0" borderId="0" xfId="56" applyNumberFormat="1" applyFill="1" applyBorder="1" applyAlignment="1">
      <alignment horizontal="right"/>
    </xf>
    <xf numFmtId="37" fontId="22" fillId="33" borderId="0" xfId="56" applyNumberFormat="1" applyFill="1" applyBorder="1" applyAlignment="1">
      <alignment horizontal="right"/>
    </xf>
    <xf numFmtId="37" fontId="46" fillId="33" borderId="0" xfId="0" applyNumberFormat="1" applyFont="1" applyFill="1" applyAlignment="1">
      <alignment horizontal="right"/>
    </xf>
    <xf numFmtId="37" fontId="46" fillId="33" borderId="0" xfId="56" applyNumberFormat="1" applyFont="1" applyFill="1" applyBorder="1" applyAlignment="1">
      <alignment horizontal="right"/>
    </xf>
    <xf numFmtId="37" fontId="0" fillId="0" borderId="15" xfId="0" applyNumberFormat="1" applyBorder="1" applyAlignment="1">
      <alignment horizontal="right"/>
    </xf>
    <xf numFmtId="37" fontId="0" fillId="0" borderId="0" xfId="0" applyNumberFormat="1" applyAlignment="1">
      <alignment horizontal="right"/>
    </xf>
    <xf numFmtId="37" fontId="23" fillId="0" borderId="0" xfId="0" applyNumberFormat="1" applyFont="1" applyAlignment="1">
      <alignment horizontal="right"/>
    </xf>
    <xf numFmtId="37" fontId="0" fillId="0" borderId="0" xfId="0" quotePrefix="1" applyNumberFormat="1" applyAlignment="1">
      <alignment horizontal="right"/>
    </xf>
    <xf numFmtId="37" fontId="23" fillId="0" borderId="15" xfId="0" applyNumberFormat="1" applyFont="1" applyBorder="1" applyAlignment="1">
      <alignment horizontal="right"/>
    </xf>
    <xf numFmtId="37" fontId="0" fillId="0" borderId="32" xfId="0" applyNumberFormat="1" applyBorder="1" applyAlignment="1">
      <alignment horizontal="right"/>
    </xf>
    <xf numFmtId="168" fontId="23" fillId="0" borderId="32" xfId="51" applyNumberFormat="1" applyFont="1" applyBorder="1" applyAlignment="1">
      <alignment horizontal="center"/>
    </xf>
    <xf numFmtId="1" fontId="23" fillId="0" borderId="56" xfId="51" applyNumberFormat="1" applyFont="1" applyBorder="1" applyAlignment="1">
      <alignment horizontal="center" vertical="center"/>
    </xf>
    <xf numFmtId="178" fontId="3" fillId="0" borderId="32" xfId="4" applyFont="1" applyFill="1" applyBorder="1"/>
    <xf numFmtId="169" fontId="54" fillId="47" borderId="32" xfId="52" applyFont="1" applyFill="1" applyBorder="1">
      <alignment horizontal="left" vertical="center"/>
    </xf>
    <xf numFmtId="169" fontId="29" fillId="0" borderId="32" xfId="52" applyFont="1" applyFill="1" applyBorder="1">
      <alignment horizontal="left" vertical="center"/>
    </xf>
    <xf numFmtId="184" fontId="1" fillId="35" borderId="32" xfId="0" applyNumberFormat="1" applyFont="1" applyFill="1" applyBorder="1"/>
    <xf numFmtId="184" fontId="49" fillId="35" borderId="32" xfId="0" applyNumberFormat="1" applyFont="1" applyFill="1" applyBorder="1"/>
    <xf numFmtId="184" fontId="22" fillId="35" borderId="32" xfId="0" applyNumberFormat="1" applyFont="1" applyFill="1" applyBorder="1"/>
    <xf numFmtId="184" fontId="23" fillId="35" borderId="32" xfId="0" applyNumberFormat="1" applyFont="1" applyFill="1" applyBorder="1"/>
    <xf numFmtId="184" fontId="1" fillId="0" borderId="32" xfId="0" applyNumberFormat="1" applyFont="1" applyBorder="1"/>
    <xf numFmtId="184" fontId="23" fillId="0" borderId="32" xfId="0" applyNumberFormat="1" applyFont="1" applyBorder="1"/>
    <xf numFmtId="184" fontId="22" fillId="0" borderId="32" xfId="0" applyNumberFormat="1" applyFont="1" applyBorder="1"/>
    <xf numFmtId="184" fontId="49" fillId="0" borderId="32" xfId="0" applyNumberFormat="1" applyFont="1" applyBorder="1"/>
    <xf numFmtId="184" fontId="0" fillId="0" borderId="32" xfId="0" applyNumberFormat="1" applyBorder="1"/>
    <xf numFmtId="169" fontId="22" fillId="35" borderId="32" xfId="52" applyFont="1" applyFill="1" applyBorder="1" applyAlignment="1">
      <alignment horizontal="right" vertical="center"/>
    </xf>
    <xf numFmtId="169" fontId="22" fillId="35" borderId="0" xfId="52" applyFont="1" applyFill="1" applyAlignment="1">
      <alignment horizontal="right" vertical="center"/>
    </xf>
    <xf numFmtId="168" fontId="1" fillId="35" borderId="32" xfId="0" applyFont="1" applyFill="1" applyBorder="1"/>
    <xf numFmtId="37" fontId="49" fillId="35" borderId="32" xfId="0" applyNumberFormat="1" applyFont="1" applyFill="1" applyBorder="1"/>
    <xf numFmtId="37" fontId="1" fillId="35" borderId="32" xfId="0" applyNumberFormat="1" applyFont="1" applyFill="1" applyBorder="1"/>
    <xf numFmtId="37" fontId="23" fillId="35" borderId="32" xfId="64" applyNumberFormat="1" applyFont="1" applyFill="1" applyBorder="1" applyAlignment="1">
      <alignment horizontal="center"/>
    </xf>
    <xf numFmtId="37" fontId="54" fillId="35" borderId="32" xfId="64" applyNumberFormat="1" applyFont="1" applyFill="1" applyBorder="1" applyAlignment="1">
      <alignment horizontal="center"/>
    </xf>
    <xf numFmtId="37" fontId="22" fillId="35" borderId="32" xfId="0" applyNumberFormat="1" applyFont="1" applyFill="1" applyBorder="1"/>
    <xf numFmtId="37" fontId="50" fillId="35" borderId="32" xfId="0" applyNumberFormat="1" applyFont="1" applyFill="1" applyBorder="1"/>
    <xf numFmtId="37" fontId="54" fillId="0" borderId="32" xfId="64" applyNumberFormat="1" applyFont="1" applyBorder="1"/>
    <xf numFmtId="37" fontId="22" fillId="0" borderId="25" xfId="0" applyNumberFormat="1" applyFont="1" applyBorder="1" applyAlignment="1">
      <alignment horizontal="center"/>
    </xf>
    <xf numFmtId="37" fontId="49" fillId="35" borderId="51" xfId="0" applyNumberFormat="1" applyFont="1" applyFill="1" applyBorder="1"/>
    <xf numFmtId="37" fontId="49" fillId="35" borderId="25" xfId="0" applyNumberFormat="1" applyFont="1" applyFill="1" applyBorder="1"/>
    <xf numFmtId="0" fontId="1" fillId="0" borderId="25" xfId="64" applyFont="1" applyBorder="1"/>
    <xf numFmtId="41" fontId="22" fillId="0" borderId="25" xfId="0" applyNumberFormat="1" applyFont="1" applyBorder="1" applyAlignment="1">
      <alignment horizontal="center"/>
    </xf>
    <xf numFmtId="37" fontId="1" fillId="35" borderId="51" xfId="0" applyNumberFormat="1" applyFont="1" applyFill="1" applyBorder="1"/>
    <xf numFmtId="37" fontId="1" fillId="35" borderId="25" xfId="0" applyNumberFormat="1" applyFont="1" applyFill="1" applyBorder="1"/>
    <xf numFmtId="168" fontId="22" fillId="0" borderId="0" xfId="0" applyFont="1" applyAlignment="1">
      <alignment horizontal="right"/>
    </xf>
    <xf numFmtId="183" fontId="70" fillId="0" borderId="0" xfId="4" applyNumberFormat="1" applyFont="1" applyFill="1" applyBorder="1"/>
    <xf numFmtId="168" fontId="75" fillId="0" borderId="0" xfId="0" applyFont="1"/>
    <xf numFmtId="178" fontId="60" fillId="0" borderId="0" xfId="4" applyFont="1" applyFill="1" applyBorder="1"/>
    <xf numFmtId="174" fontId="0" fillId="0" borderId="0" xfId="4" applyNumberFormat="1" applyFont="1" applyFill="1" applyBorder="1"/>
    <xf numFmtId="174" fontId="0" fillId="0" borderId="0" xfId="0" applyNumberFormat="1"/>
    <xf numFmtId="174" fontId="94" fillId="0" borderId="0" xfId="4" applyNumberFormat="1" applyFont="1" applyFill="1" applyBorder="1"/>
    <xf numFmtId="44" fontId="0" fillId="0" borderId="0" xfId="67" applyFont="1" applyFill="1" applyBorder="1"/>
    <xf numFmtId="10" fontId="23" fillId="47" borderId="54" xfId="0" applyNumberFormat="1" applyFont="1" applyFill="1" applyBorder="1"/>
    <xf numFmtId="1" fontId="22" fillId="0" borderId="0" xfId="0" applyNumberFormat="1" applyFont="1" applyAlignment="1">
      <alignment horizontal="center"/>
    </xf>
    <xf numFmtId="178" fontId="0" fillId="0" borderId="0" xfId="4" applyFont="1" applyAlignment="1">
      <alignment horizontal="center"/>
    </xf>
    <xf numFmtId="1" fontId="23" fillId="0" borderId="0" xfId="0" applyNumberFormat="1" applyFont="1" applyAlignment="1">
      <alignment horizontal="center"/>
    </xf>
    <xf numFmtId="168" fontId="22" fillId="0" borderId="0" xfId="0" applyFont="1" applyAlignment="1">
      <alignment horizontal="center"/>
    </xf>
    <xf numFmtId="168" fontId="23" fillId="47" borderId="0" xfId="0" applyFont="1" applyFill="1" applyAlignment="1">
      <alignment horizontal="center"/>
    </xf>
    <xf numFmtId="168" fontId="23" fillId="47" borderId="32" xfId="0" applyFon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22" fillId="0" borderId="32" xfId="0" applyNumberFormat="1" applyFont="1" applyBorder="1" applyAlignment="1">
      <alignment horizontal="center"/>
    </xf>
    <xf numFmtId="168" fontId="0" fillId="0" borderId="32" xfId="0" applyBorder="1" applyAlignment="1">
      <alignment horizontal="center"/>
    </xf>
    <xf numFmtId="1" fontId="23" fillId="0" borderId="32" xfId="0" applyNumberFormat="1" applyFont="1" applyBorder="1" applyAlignment="1">
      <alignment horizontal="center"/>
    </xf>
    <xf numFmtId="1" fontId="0" fillId="0" borderId="32" xfId="4" applyNumberFormat="1" applyFont="1" applyBorder="1" applyAlignment="1">
      <alignment horizontal="center"/>
    </xf>
    <xf numFmtId="178" fontId="0" fillId="0" borderId="32" xfId="4" applyFont="1" applyBorder="1" applyAlignment="1">
      <alignment horizontal="center"/>
    </xf>
    <xf numFmtId="178" fontId="23" fillId="0" borderId="32" xfId="4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1" fontId="23" fillId="0" borderId="32" xfId="4" applyNumberFormat="1" applyFont="1" applyBorder="1" applyAlignment="1">
      <alignment horizontal="center"/>
    </xf>
    <xf numFmtId="168" fontId="40" fillId="49" borderId="58" xfId="0" applyFont="1" applyFill="1" applyBorder="1"/>
    <xf numFmtId="168" fontId="40" fillId="49" borderId="59" xfId="0" applyFont="1" applyFill="1" applyBorder="1"/>
    <xf numFmtId="168" fontId="40" fillId="49" borderId="60" xfId="0" applyFont="1" applyFill="1" applyBorder="1"/>
    <xf numFmtId="168" fontId="78" fillId="49" borderId="59" xfId="0" applyFont="1" applyFill="1" applyBorder="1"/>
    <xf numFmtId="168" fontId="54" fillId="47" borderId="0" xfId="0" applyFont="1" applyFill="1"/>
    <xf numFmtId="168" fontId="54" fillId="47" borderId="57" xfId="0" applyFont="1" applyFill="1" applyBorder="1"/>
    <xf numFmtId="168" fontId="54" fillId="47" borderId="15" xfId="0" applyFont="1" applyFill="1" applyBorder="1"/>
    <xf numFmtId="168" fontId="40" fillId="47" borderId="61" xfId="0" applyFont="1" applyFill="1" applyBorder="1"/>
    <xf numFmtId="168" fontId="40" fillId="47" borderId="62" xfId="0" applyFont="1" applyFill="1" applyBorder="1"/>
    <xf numFmtId="168" fontId="22" fillId="47" borderId="62" xfId="0" applyFont="1" applyFill="1" applyBorder="1"/>
    <xf numFmtId="168" fontId="55" fillId="47" borderId="62" xfId="0" applyFont="1" applyFill="1" applyBorder="1"/>
    <xf numFmtId="168" fontId="22" fillId="47" borderId="63" xfId="0" applyFont="1" applyFill="1" applyBorder="1"/>
    <xf numFmtId="168" fontId="40" fillId="47" borderId="63" xfId="0" applyFont="1" applyFill="1" applyBorder="1"/>
    <xf numFmtId="2" fontId="22" fillId="47" borderId="62" xfId="0" applyNumberFormat="1" applyFont="1" applyFill="1" applyBorder="1"/>
    <xf numFmtId="2" fontId="78" fillId="47" borderId="62" xfId="0" applyNumberFormat="1" applyFont="1" applyFill="1" applyBorder="1"/>
    <xf numFmtId="168" fontId="40" fillId="50" borderId="61" xfId="0" applyFont="1" applyFill="1" applyBorder="1"/>
    <xf numFmtId="168" fontId="40" fillId="50" borderId="62" xfId="0" applyFont="1" applyFill="1" applyBorder="1"/>
    <xf numFmtId="168" fontId="22" fillId="50" borderId="62" xfId="0" applyFont="1" applyFill="1" applyBorder="1"/>
    <xf numFmtId="168" fontId="22" fillId="50" borderId="63" xfId="0" applyFont="1" applyFill="1" applyBorder="1"/>
    <xf numFmtId="168" fontId="40" fillId="50" borderId="63" xfId="0" applyFont="1" applyFill="1" applyBorder="1"/>
    <xf numFmtId="2" fontId="78" fillId="50" borderId="62" xfId="0" applyNumberFormat="1" applyFont="1" applyFill="1" applyBorder="1"/>
    <xf numFmtId="168" fontId="55" fillId="50" borderId="62" xfId="0" applyFont="1" applyFill="1" applyBorder="1"/>
    <xf numFmtId="168" fontId="55" fillId="0" borderId="0" xfId="0" applyFont="1"/>
    <xf numFmtId="168" fontId="54" fillId="0" borderId="0" xfId="0" applyFont="1"/>
    <xf numFmtId="168" fontId="72" fillId="41" borderId="14" xfId="0" applyFont="1" applyFill="1" applyBorder="1" applyAlignment="1">
      <alignment horizontal="center" vertical="center"/>
    </xf>
    <xf numFmtId="168" fontId="72" fillId="41" borderId="12" xfId="0" applyFont="1" applyFill="1" applyBorder="1" applyAlignment="1">
      <alignment horizontal="center" vertical="center"/>
    </xf>
    <xf numFmtId="168" fontId="55" fillId="41" borderId="0" xfId="0" applyFont="1" applyFill="1"/>
    <xf numFmtId="168" fontId="52" fillId="41" borderId="0" xfId="0" applyFont="1" applyFill="1"/>
    <xf numFmtId="168" fontId="52" fillId="45" borderId="0" xfId="0" applyFont="1" applyFill="1"/>
    <xf numFmtId="168" fontId="72" fillId="0" borderId="0" xfId="0" applyFont="1" applyAlignment="1">
      <alignment horizontal="center" vertical="center"/>
    </xf>
    <xf numFmtId="168" fontId="63" fillId="0" borderId="0" xfId="0" applyFont="1" applyAlignment="1">
      <alignment horizontal="center"/>
    </xf>
    <xf numFmtId="168" fontId="63" fillId="0" borderId="0" xfId="0" applyFont="1" applyAlignment="1">
      <alignment horizontal="center" vertical="center"/>
    </xf>
    <xf numFmtId="168" fontId="63" fillId="0" borderId="0" xfId="0" applyFont="1" applyAlignment="1">
      <alignment horizontal="center" vertical="center" wrapText="1"/>
    </xf>
    <xf numFmtId="168" fontId="68" fillId="0" borderId="0" xfId="0" applyFont="1" applyAlignment="1">
      <alignment horizontal="center" vertical="center"/>
    </xf>
    <xf numFmtId="168" fontId="69" fillId="0" borderId="0" xfId="0" applyFont="1" applyAlignment="1">
      <alignment horizontal="center" vertical="center"/>
    </xf>
    <xf numFmtId="168" fontId="77" fillId="0" borderId="13" xfId="0" applyFont="1" applyBorder="1" applyAlignment="1">
      <alignment horizontal="center"/>
    </xf>
  </cellXfs>
  <cellStyles count="72">
    <cellStyle name="20% - Accent1" xfId="22" builtinId="30" hidden="1"/>
    <cellStyle name="20% - Accent2" xfId="26" builtinId="34" hidden="1"/>
    <cellStyle name="20% - Accent3" xfId="30" builtinId="38" hidden="1"/>
    <cellStyle name="20% - Accent4" xfId="34" builtinId="42" hidden="1"/>
    <cellStyle name="20% - Accent5" xfId="38" builtinId="46" hidden="1"/>
    <cellStyle name="20% - Accent6" xfId="42" builtinId="50" hidden="1"/>
    <cellStyle name="40% - Accent1" xfId="23" builtinId="31" hidden="1"/>
    <cellStyle name="40% - Accent2" xfId="27" builtinId="35" hidden="1"/>
    <cellStyle name="40% - Accent3" xfId="31" builtinId="39" hidden="1"/>
    <cellStyle name="40% - Accent4" xfId="35" builtinId="43" hidden="1"/>
    <cellStyle name="40% - Accent5" xfId="39" builtinId="47" hidden="1"/>
    <cellStyle name="40% - Accent6" xfId="43" builtinId="51" hidden="1"/>
    <cellStyle name="60% - Accent1" xfId="24" builtinId="32" hidden="1"/>
    <cellStyle name="60% - Accent2" xfId="28" builtinId="36" hidden="1"/>
    <cellStyle name="60% - Accent3" xfId="32" builtinId="40" hidden="1"/>
    <cellStyle name="60% - Accent4" xfId="36" builtinId="44" hidden="1"/>
    <cellStyle name="60% - Accent5" xfId="40" builtinId="48" hidden="1"/>
    <cellStyle name="60% - Accent6" xfId="44" builtinId="52" hidden="1"/>
    <cellStyle name="Accent1" xfId="21" builtinId="29" hidden="1"/>
    <cellStyle name="Accent2" xfId="25" builtinId="33" hidden="1"/>
    <cellStyle name="Accent3" xfId="29" builtinId="37" hidden="1"/>
    <cellStyle name="Accent4" xfId="33" builtinId="41" hidden="1"/>
    <cellStyle name="Accent5" xfId="37" builtinId="45" hidden="1"/>
    <cellStyle name="Accent6" xfId="41" builtinId="49" hidden="1"/>
    <cellStyle name="Bad" xfId="11" builtinId="27" hidden="1"/>
    <cellStyle name="Blue" xfId="56" xr:uid="{00000000-0005-0000-0000-000019000000}"/>
    <cellStyle name="Calculation" xfId="14" builtinId="22" hidden="1"/>
    <cellStyle name="Check Cell" xfId="16" builtinId="23" hidden="1"/>
    <cellStyle name="Comma" xfId="46" builtinId="3" hidden="1"/>
    <cellStyle name="Comma [0]" xfId="47" builtinId="6" hidden="1"/>
    <cellStyle name="Currency" xfId="48" builtinId="4" hidden="1"/>
    <cellStyle name="Currency" xfId="67" builtinId="4"/>
    <cellStyle name="Currency [0]" xfId="49" builtinId="7" hidden="1"/>
    <cellStyle name="Date" xfId="1" xr:uid="{00000000-0005-0000-0000-000021000000}"/>
    <cellStyle name="Explanatory Text" xfId="19" builtinId="53" hidden="1"/>
    <cellStyle name="fa_data_standard_2_grouped" xfId="65" xr:uid="{4E5CBA11-B23D-4250-A6A9-5A8679664395}"/>
    <cellStyle name="Followed Hyperlink" xfId="45" builtinId="9" hidden="1"/>
    <cellStyle name="Good" xfId="10" builtinId="26" hidden="1"/>
    <cellStyle name="Header" xfId="51" xr:uid="{00000000-0005-0000-0000-000025000000}"/>
    <cellStyle name="Heading 1" xfId="6" builtinId="16" hidden="1"/>
    <cellStyle name="Heading 2" xfId="7" builtinId="17" hidden="1"/>
    <cellStyle name="Heading 3" xfId="8" builtinId="18" hidden="1"/>
    <cellStyle name="Heading 4" xfId="9" builtinId="19" hidden="1"/>
    <cellStyle name="Hyperlink" xfId="2" builtinId="8" hidden="1"/>
    <cellStyle name="Hyperlink 2" xfId="61" xr:uid="{A6F4ED29-543A-4472-9BBC-E9C05849F744}"/>
    <cellStyle name="Input" xfId="3" builtinId="20" customBuiltin="1"/>
    <cellStyle name="Input %" xfId="55" xr:uid="{00000000-0005-0000-0000-00002D000000}"/>
    <cellStyle name="Input 2" xfId="70" xr:uid="{8648D229-5821-494B-A903-05DA4919E97E}"/>
    <cellStyle name="Linked Cell" xfId="15" builtinId="24" hidden="1"/>
    <cellStyle name="Multiple" xfId="50" xr:uid="{00000000-0005-0000-0000-000030000000}"/>
    <cellStyle name="Neutral" xfId="12" builtinId="28" hidden="1"/>
    <cellStyle name="Normal" xfId="0" builtinId="0" customBuiltin="1"/>
    <cellStyle name="Normal 10" xfId="66" xr:uid="{5C7800D8-4379-4C2D-8BAB-F2609926D2D9}"/>
    <cellStyle name="Normal 2" xfId="59" xr:uid="{37F7268A-6FEA-41CF-AB42-FCE830CF0A19}"/>
    <cellStyle name="Normal 2 2 2" xfId="63" xr:uid="{8B84668F-39F5-4604-A9CD-9E1EC7B10A5B}"/>
    <cellStyle name="Normal 3" xfId="60" xr:uid="{865BB2EA-1746-4BFA-8138-3BD8F7EFB6E2}"/>
    <cellStyle name="Normal_BasicFCFModel" xfId="68" xr:uid="{E8F22B8F-2C55-458A-B6CD-4404A18FCEDE}"/>
    <cellStyle name="Normal_Sheet" xfId="69" xr:uid="{7F13D98A-5901-470C-909A-484BB64316E3}"/>
    <cellStyle name="Normal_Sheet2" xfId="64" xr:uid="{6C6F5126-4B97-4E49-9021-84031A05788D}"/>
    <cellStyle name="Note" xfId="18" builtinId="10" hidden="1"/>
    <cellStyle name="Output" xfId="13" builtinId="21" hidden="1"/>
    <cellStyle name="Percent" xfId="4" builtinId="5" customBuiltin="1"/>
    <cellStyle name="Percent 2" xfId="71" xr:uid="{3C8996E2-F143-40A9-BFF9-144DC11825C4}"/>
    <cellStyle name="SubHeader" xfId="52" xr:uid="{00000000-0005-0000-0000-000038000000}"/>
    <cellStyle name="SubHeader2" xfId="53" xr:uid="{00000000-0005-0000-0000-000039000000}"/>
    <cellStyle name="SubHeader3" xfId="57" xr:uid="{600A8E4B-5EFE-4F49-86BE-ED96434D9E2A}"/>
    <cellStyle name="SuperHeader" xfId="58" xr:uid="{FB8AD50A-BDA2-4502-87D2-CA69086A0156}"/>
    <cellStyle name="Title" xfId="5" builtinId="15" hidden="1"/>
    <cellStyle name="Total" xfId="20" builtinId="25" hidden="1"/>
    <cellStyle name="Warning Text" xfId="17" builtinId="11" hidden="1"/>
    <cellStyle name="xGuides" xfId="62" xr:uid="{D816BBD0-0B91-4E7F-9B51-2F54BBE3464B}"/>
    <cellStyle name="YesNo" xfId="54" xr:uid="{00000000-0005-0000-0000-00003D000000}"/>
  </cellStyles>
  <dxfs count="10"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3E053"/>
      <color rgb="FF339933"/>
      <color rgb="FF0000FF"/>
      <color rgb="FF106B39"/>
      <color rgb="FFFFFFCC"/>
      <color rgb="FF66FF66"/>
      <color rgb="FFFAA7A7"/>
      <color rgb="FFFF7373"/>
      <color rgb="FFE1E1E1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/>
                </a:solidFill>
              </a:rPr>
              <a:t>Revenue</a:t>
            </a:r>
            <a:r>
              <a:rPr lang="en-CA" baseline="0">
                <a:solidFill>
                  <a:schemeClr val="bg1"/>
                </a:solidFill>
              </a:rPr>
              <a:t> by Geography</a:t>
            </a:r>
            <a:endParaRPr lang="en-CA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'[1]Revenue Charts'!$A$1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'[1]Revenue Charts'!$A$2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D-4311-B5F7-F2E9B6EA6987}"/>
            </c:ext>
          </c:extLst>
        </c:ser>
        <c:ser>
          <c:idx val="1"/>
          <c:order val="1"/>
          <c:tx>
            <c:strRef>
              <c:f>'[1]Revenue Charts'!$B$1</c:f>
              <c:strCache>
                <c:ptCount val="1"/>
                <c:pt idx="0">
                  <c:v>EMEA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'[1]Revenue Charts'!$B$2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D-4311-B5F7-F2E9B6EA6987}"/>
            </c:ext>
          </c:extLst>
        </c:ser>
        <c:ser>
          <c:idx val="2"/>
          <c:order val="2"/>
          <c:tx>
            <c:strRef>
              <c:f>'[1]Revenue Charts'!$C$1</c:f>
              <c:strCache>
                <c:ptCount val="1"/>
                <c:pt idx="0">
                  <c:v>APAC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'[1]Revenue Charts'!$C$2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D-4311-B5F7-F2E9B6EA69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53102127"/>
        <c:axId val="53102607"/>
      </c:barChart>
      <c:catAx>
        <c:axId val="531021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102607"/>
        <c:crosses val="autoZero"/>
        <c:auto val="1"/>
        <c:lblAlgn val="ctr"/>
        <c:lblOffset val="100"/>
        <c:noMultiLvlLbl val="0"/>
      </c:catAx>
      <c:valAx>
        <c:axId val="53102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102127"/>
        <c:crosses val="autoZero"/>
        <c:crossBetween val="between"/>
      </c:valAx>
      <c:spPr>
        <a:solidFill>
          <a:schemeClr val="accent1">
            <a:lumMod val="5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Revenue</a:t>
            </a:r>
            <a:r>
              <a:rPr lang="en-CA" baseline="0"/>
              <a:t> by Operations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4E-4974-86F2-586CFE6EE9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4E-4974-86F2-586CFE6EE95A}"/>
              </c:ext>
            </c:extLst>
          </c:dPt>
          <c:cat>
            <c:strRef>
              <c:f>'[1]Revenue Charts'!$P$1:$Q$1</c:f>
              <c:strCache>
                <c:ptCount val="2"/>
                <c:pt idx="0">
                  <c:v>Subscription</c:v>
                </c:pt>
                <c:pt idx="1">
                  <c:v>Other</c:v>
                </c:pt>
              </c:strCache>
            </c:strRef>
          </c:cat>
          <c:val>
            <c:numRef>
              <c:f>'[1]Revenue Charts'!$P$2:$Q$2</c:f>
              <c:numCache>
                <c:formatCode>General</c:formatCode>
                <c:ptCount val="2"/>
                <c:pt idx="0">
                  <c:v>97.03</c:v>
                </c:pt>
                <c:pt idx="1">
                  <c:v>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E-4974-86F2-586CFE6EE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'[1]Revenue Charts'!$T$1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'[1]Revenue Charts'!$T$2</c:f>
              <c:numCache>
                <c:formatCode>General</c:formatCode>
                <c:ptCount val="1"/>
                <c:pt idx="0">
                  <c:v>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E-4D11-91E3-FB8F0F8447CB}"/>
            </c:ext>
          </c:extLst>
        </c:ser>
        <c:ser>
          <c:idx val="1"/>
          <c:order val="1"/>
          <c:tx>
            <c:strRef>
              <c:f>'[1]Revenue Charts'!$U$1</c:f>
              <c:strCache>
                <c:ptCount val="1"/>
                <c:pt idx="0">
                  <c:v>2026E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'[1]Revenue Charts'!$U$2</c:f>
              <c:numCache>
                <c:formatCode>General</c:formatCode>
                <c:ptCount val="1"/>
                <c:pt idx="0">
                  <c:v>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E-4D11-91E3-FB8F0F8447CB}"/>
            </c:ext>
          </c:extLst>
        </c:ser>
        <c:ser>
          <c:idx val="2"/>
          <c:order val="2"/>
          <c:tx>
            <c:strRef>
              <c:f>'[1]Revenue Charts'!$V$1</c:f>
              <c:strCache>
                <c:ptCount val="1"/>
                <c:pt idx="0">
                  <c:v>2027E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'[1]Revenue Charts'!$V$2</c:f>
              <c:numCache>
                <c:formatCode>General</c:formatCode>
                <c:ptCount val="1"/>
                <c:pt idx="0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E-4D11-91E3-FB8F0F8447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994591"/>
        <c:axId val="1447067279"/>
      </c:barChart>
      <c:catAx>
        <c:axId val="17099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67279"/>
        <c:crosses val="autoZero"/>
        <c:auto val="1"/>
        <c:lblAlgn val="ctr"/>
        <c:lblOffset val="100"/>
        <c:noMultiLvlLbl val="0"/>
      </c:catAx>
      <c:valAx>
        <c:axId val="144706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Number</a:t>
            </a:r>
            <a:r>
              <a:rPr lang="en-CA" baseline="0"/>
              <a:t> of Customers (in thousands)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'[1]Revenue Charts'!$O$27:$U$27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'[1]Revenue Charts'!$O$28:$U$28</c:f>
              <c:numCache>
                <c:formatCode>General</c:formatCode>
                <c:ptCount val="7"/>
                <c:pt idx="0">
                  <c:v>7.4</c:v>
                </c:pt>
                <c:pt idx="1">
                  <c:v>7.7</c:v>
                </c:pt>
                <c:pt idx="2">
                  <c:v>8.1</c:v>
                </c:pt>
                <c:pt idx="3">
                  <c:v>8.4</c:v>
                </c:pt>
                <c:pt idx="4">
                  <c:v>8.8000000000000007</c:v>
                </c:pt>
                <c:pt idx="5">
                  <c:v>9.1999999999999993</c:v>
                </c:pt>
                <c:pt idx="6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6-4494-84C0-42C314A62B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158767"/>
        <c:axId val="16715972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'[1]Revenue Charts'!$O$27:$U$27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'[1]Revenue Charts'!$O$29:$U$29</c:f>
              <c:numCache>
                <c:formatCode>General</c:formatCode>
                <c:ptCount val="7"/>
                <c:pt idx="1">
                  <c:v>4.0540540540540515E-2</c:v>
                </c:pt>
                <c:pt idx="2">
                  <c:v>5.1948051948051875E-2</c:v>
                </c:pt>
                <c:pt idx="3">
                  <c:v>3.7037037037037125E-2</c:v>
                </c:pt>
                <c:pt idx="4">
                  <c:v>4.7619047619047658E-2</c:v>
                </c:pt>
                <c:pt idx="5">
                  <c:v>4.5454545454545289E-2</c:v>
                </c:pt>
                <c:pt idx="6">
                  <c:v>3.2608695652173995E-2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6-4494-84C0-42C314A62B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6234591"/>
        <c:axId val="1446233631"/>
      </c:lineChart>
      <c:catAx>
        <c:axId val="167158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9727"/>
        <c:crosses val="autoZero"/>
        <c:auto val="1"/>
        <c:lblAlgn val="ctr"/>
        <c:lblOffset val="100"/>
        <c:noMultiLvlLbl val="0"/>
      </c:catAx>
      <c:valAx>
        <c:axId val="16715972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8767"/>
        <c:crosses val="autoZero"/>
        <c:crossBetween val="between"/>
      </c:valAx>
      <c:valAx>
        <c:axId val="1446233631"/>
        <c:scaling>
          <c:orientation val="minMax"/>
        </c:scaling>
        <c:delete val="0"/>
        <c:axPos val="r"/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234591"/>
        <c:crosses val="max"/>
        <c:crossBetween val="between"/>
      </c:valAx>
      <c:catAx>
        <c:axId val="144623459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4623363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7D3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Top Line Revenue Growth (in billions)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7D359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'[1]Revenue Charts'!$G$43</c:f>
              <c:strCache>
                <c:ptCount val="1"/>
                <c:pt idx="0">
                  <c:v>Top Line rev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7A-4E63-B24A-FC3DBA02735D}"/>
              </c:ext>
            </c:extLst>
          </c:dPt>
          <c:dPt>
            <c:idx val="1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7A-4E63-B24A-FC3DBA02735D}"/>
              </c:ext>
            </c:extLst>
          </c:dPt>
          <c:dPt>
            <c:idx val="2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7A-4E63-B24A-FC3DBA02735D}"/>
              </c:ext>
            </c:extLst>
          </c:dPt>
          <c:dPt>
            <c:idx val="3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7A-4E63-B24A-FC3DBA02735D}"/>
              </c:ext>
            </c:extLst>
          </c:dPt>
          <c:dPt>
            <c:idx val="4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A-4E63-B24A-FC3DBA02735D}"/>
              </c:ext>
            </c:extLst>
          </c:dPt>
          <c:dPt>
            <c:idx val="5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7A-4E63-B24A-FC3DBA02735D}"/>
              </c:ext>
            </c:extLst>
          </c:dPt>
          <c:dPt>
            <c:idx val="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47A-4E63-B24A-FC3DBA02735D}"/>
              </c:ext>
            </c:extLst>
          </c:dPt>
          <c:dPt>
            <c:idx val="7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47A-4E63-B24A-FC3DBA02735D}"/>
              </c:ext>
            </c:extLst>
          </c:dPt>
          <c:cat>
            <c:strRef>
              <c:f>'[1]Revenue Charts'!$H$42:$O$42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</c:strCache>
            </c:strRef>
          </c:cat>
          <c:val>
            <c:numRef>
              <c:f>'[1]Revenue Charts'!$H$43:$O$43</c:f>
              <c:numCache>
                <c:formatCode>General</c:formatCode>
                <c:ptCount val="8"/>
                <c:pt idx="0">
                  <c:v>4.5190000000000001</c:v>
                </c:pt>
                <c:pt idx="1">
                  <c:v>5.89</c:v>
                </c:pt>
                <c:pt idx="2">
                  <c:v>7.25</c:v>
                </c:pt>
                <c:pt idx="3">
                  <c:v>8.9700000000000006</c:v>
                </c:pt>
                <c:pt idx="4">
                  <c:v>10.98</c:v>
                </c:pt>
                <c:pt idx="5">
                  <c:v>13.28</c:v>
                </c:pt>
                <c:pt idx="6">
                  <c:v>15.99</c:v>
                </c:pt>
                <c:pt idx="7">
                  <c:v>18.95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47A-4E63-B24A-FC3DBA02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6332424"/>
        <c:axId val="1046334472"/>
      </c:barChart>
      <c:lineChart>
        <c:grouping val="standard"/>
        <c:varyColors val="0"/>
        <c:ser>
          <c:idx val="1"/>
          <c:order val="1"/>
          <c:tx>
            <c:strRef>
              <c:f>'[1]Revenue Charts'!$G$44</c:f>
              <c:strCache>
                <c:ptCount val="1"/>
                <c:pt idx="0">
                  <c:v>Rev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44B3E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647A-4E63-B24A-FC3DBA02735D}"/>
              </c:ext>
            </c:extLst>
          </c:dPt>
          <c:cat>
            <c:strRef>
              <c:f>'[1]Revenue Charts'!$H$42:$O$42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2026E</c:v>
                </c:pt>
                <c:pt idx="7">
                  <c:v>2027E</c:v>
                </c:pt>
              </c:strCache>
            </c:strRef>
          </c:cat>
          <c:val>
            <c:numRef>
              <c:f>'[1]Revenue Charts'!$H$44:$O$44</c:f>
              <c:numCache>
                <c:formatCode>General</c:formatCode>
                <c:ptCount val="8"/>
                <c:pt idx="1">
                  <c:v>0.30338570480194721</c:v>
                </c:pt>
                <c:pt idx="2">
                  <c:v>0.23089983022071314</c:v>
                </c:pt>
                <c:pt idx="3">
                  <c:v>0.23724137931034492</c:v>
                </c:pt>
                <c:pt idx="4">
                  <c:v>0.22408026755852839</c:v>
                </c:pt>
                <c:pt idx="5">
                  <c:v>0.20947176684881591</c:v>
                </c:pt>
                <c:pt idx="6">
                  <c:v>0.20406626506024103</c:v>
                </c:pt>
                <c:pt idx="7">
                  <c:v>0.1851156973108192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47A-4E63-B24A-FC3DBA02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211528"/>
        <c:axId val="743196168"/>
      </c:lineChart>
      <c:catAx>
        <c:axId val="104633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34472"/>
        <c:crosses val="autoZero"/>
        <c:auto val="1"/>
        <c:lblAlgn val="ctr"/>
        <c:lblOffset val="100"/>
        <c:noMultiLvlLbl val="0"/>
      </c:catAx>
      <c:valAx>
        <c:axId val="1046334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32424"/>
        <c:crosses val="autoZero"/>
        <c:crossBetween val="between"/>
      </c:valAx>
      <c:valAx>
        <c:axId val="743196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11528"/>
        <c:crosses val="max"/>
        <c:crossBetween val="between"/>
      </c:valAx>
      <c:catAx>
        <c:axId val="743211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3196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'[1]Revenue Charts'!$I$42:$O$42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2026E</c:v>
                </c:pt>
                <c:pt idx="6">
                  <c:v>2027E</c:v>
                </c:pt>
              </c:strCache>
            </c:strRef>
          </c:cat>
          <c:val>
            <c:numRef>
              <c:f>'[1]Revenue Charts'!$I$44:$O$44</c:f>
              <c:numCache>
                <c:formatCode>General</c:formatCode>
                <c:ptCount val="7"/>
                <c:pt idx="0">
                  <c:v>0.30338570480194721</c:v>
                </c:pt>
                <c:pt idx="1">
                  <c:v>0.23089983022071314</c:v>
                </c:pt>
                <c:pt idx="2">
                  <c:v>0.23724137931034492</c:v>
                </c:pt>
                <c:pt idx="3">
                  <c:v>0.22408026755852839</c:v>
                </c:pt>
                <c:pt idx="4">
                  <c:v>0.20947176684881591</c:v>
                </c:pt>
                <c:pt idx="5">
                  <c:v>0.20406626506024103</c:v>
                </c:pt>
                <c:pt idx="6">
                  <c:v>0.1851156973108192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BC-4FB9-B77C-A7BC3DA5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524488"/>
        <c:axId val="781526536"/>
      </c:lineChart>
      <c:catAx>
        <c:axId val="781524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26536"/>
        <c:crosses val="autoZero"/>
        <c:auto val="1"/>
        <c:lblAlgn val="ctr"/>
        <c:lblOffset val="100"/>
        <c:noMultiLvlLbl val="0"/>
      </c:catAx>
      <c:valAx>
        <c:axId val="78152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524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 Service Management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'[1]Revenue Charts'!$AB$4</c:f>
              <c:strCache>
                <c:ptCount val="1"/>
                <c:pt idx="0">
                  <c:v>IT Service Management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04-48EC-B367-C9AAFD5ECA42}"/>
              </c:ext>
            </c:extLst>
          </c:dPt>
          <c:dPt>
            <c:idx val="1"/>
            <c:invertIfNegative val="0"/>
            <c:bubble3D val="0"/>
            <c:spPr>
              <a:solidFill>
                <a:srgbClr val="4D93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04-48EC-B367-C9AAFD5ECA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('[1]Revenue Charts'!$AC$3:$AD$3,'[1]Revenue Charts'!$AG$3)</c:f>
              <c:strCache>
                <c:ptCount val="3"/>
                <c:pt idx="0">
                  <c:v>NOW</c:v>
                </c:pt>
                <c:pt idx="1">
                  <c:v>TEAM</c:v>
                </c:pt>
                <c:pt idx="2">
                  <c:v>Others</c:v>
                </c:pt>
              </c:strCache>
            </c:strRef>
          </c:cat>
          <c:val>
            <c:numRef>
              <c:f>('[1]Revenue Charts'!$AC$4:$AD$4,'[1]Revenue Charts'!$AG$4)</c:f>
              <c:numCache>
                <c:formatCode>General</c:formatCode>
                <c:ptCount val="3"/>
                <c:pt idx="0">
                  <c:v>44</c:v>
                </c:pt>
                <c:pt idx="1">
                  <c:v>15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04-48EC-B367-C9AAFD5EC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3771016"/>
        <c:axId val="73773064"/>
      </c:barChart>
      <c:catAx>
        <c:axId val="7377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3064"/>
        <c:crosses val="autoZero"/>
        <c:auto val="1"/>
        <c:lblAlgn val="ctr"/>
        <c:lblOffset val="100"/>
        <c:noMultiLvlLbl val="0"/>
      </c:catAx>
      <c:valAx>
        <c:axId val="73773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771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Relationship Management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'[1]Revenue Charts'!$AB$10</c:f>
              <c:strCache>
                <c:ptCount val="1"/>
                <c:pt idx="0">
                  <c:v>Client Relationship Management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7D3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1-4991-A67B-8107693F751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1-4991-A67B-8107693F751E}"/>
              </c:ext>
            </c:extLst>
          </c:dPt>
          <c:dPt>
            <c:idx val="2"/>
            <c:invertIfNegative val="0"/>
            <c:bubble3D val="0"/>
            <c:spPr>
              <a:solidFill>
                <a:srgbClr val="44B3E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61-4991-A67B-8107693F7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'[1]Revenue Charts'!$AD$8:$AG$9</c:f>
              <c:multiLvlStrCache>
                <c:ptCount val="4"/>
                <c:lvl/>
                <c:lvl>
                  <c:pt idx="0">
                    <c:v>NOW</c:v>
                  </c:pt>
                  <c:pt idx="1">
                    <c:v>MSFT</c:v>
                  </c:pt>
                  <c:pt idx="2">
                    <c:v>CRM</c:v>
                  </c:pt>
                  <c:pt idx="3">
                    <c:v>Others</c:v>
                  </c:pt>
                </c:lvl>
              </c:multiLvlStrCache>
            </c:multiLvlStrRef>
          </c:cat>
          <c:val>
            <c:numRef>
              <c:f>'[1]Revenue Charts'!$AD$10:$AG$10</c:f>
              <c:numCache>
                <c:formatCode>General</c:formatCode>
                <c:ptCount val="4"/>
                <c:pt idx="0">
                  <c:v>2</c:v>
                </c:pt>
                <c:pt idx="1">
                  <c:v>5.7</c:v>
                </c:pt>
                <c:pt idx="2">
                  <c:v>20.7</c:v>
                </c:pt>
                <c:pt idx="3">
                  <c:v>71.599999999999994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61-4991-A67B-8107693F7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961160"/>
        <c:axId val="1678963208"/>
      </c:barChart>
      <c:catAx>
        <c:axId val="167896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63208"/>
        <c:crosses val="autoZero"/>
        <c:auto val="1"/>
        <c:lblAlgn val="ctr"/>
        <c:lblOffset val="100"/>
        <c:noMultiLvlLbl val="0"/>
      </c:catAx>
      <c:valAx>
        <c:axId val="1678963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896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Enterprise Resource Management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'[1]Revenue Charts'!$AO$4</c:f>
              <c:strCache>
                <c:ptCount val="1"/>
                <c:pt idx="0">
                  <c:v>Enterprise Resource Management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D-4131-BDE2-452FCAA6D913}"/>
              </c:ext>
            </c:extLst>
          </c:dPt>
          <c:dPt>
            <c:idx val="1"/>
            <c:invertIfNegative val="0"/>
            <c:bubble3D val="0"/>
            <c:spPr>
              <a:solidFill>
                <a:srgbClr val="4D93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D-4131-BDE2-452FCAA6D91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D-4131-BDE2-452FCAA6D913}"/>
              </c:ext>
            </c:extLst>
          </c:dPt>
          <c:dPt>
            <c:idx val="3"/>
            <c:invertIfNegative val="0"/>
            <c:bubble3D val="0"/>
            <c:spPr>
              <a:solidFill>
                <a:srgbClr val="153D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D-4131-BDE2-452FCAA6D9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'[1]Revenue Charts'!$AP$2:$AT$3</c:f>
              <c:strCache>
                <c:ptCount val="5"/>
                <c:pt idx="0">
                  <c:v>ORCL</c:v>
                </c:pt>
                <c:pt idx="1">
                  <c:v>SAP</c:v>
                </c:pt>
                <c:pt idx="2">
                  <c:v>MSFT</c:v>
                </c:pt>
                <c:pt idx="3">
                  <c:v>WDAY</c:v>
                </c:pt>
                <c:pt idx="4">
                  <c:v>Others</c:v>
                </c:pt>
              </c:strCache>
            </c:strRef>
          </c:cat>
          <c:val>
            <c:numRef>
              <c:f>'[1]Revenue Charts'!$AP$4:$AT$4</c:f>
              <c:numCache>
                <c:formatCode>General</c:formatCode>
                <c:ptCount val="5"/>
                <c:pt idx="0">
                  <c:v>28</c:v>
                </c:pt>
                <c:pt idx="1">
                  <c:v>24</c:v>
                </c:pt>
                <c:pt idx="2">
                  <c:v>18</c:v>
                </c:pt>
                <c:pt idx="3">
                  <c:v>6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D-4131-BDE2-452FCAA6D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8275079"/>
        <c:axId val="798277127"/>
      </c:barChart>
      <c:catAx>
        <c:axId val="798275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77127"/>
        <c:crosses val="autoZero"/>
        <c:auto val="1"/>
        <c:lblAlgn val="ctr"/>
        <c:lblOffset val="100"/>
        <c:noMultiLvlLbl val="0"/>
      </c:catAx>
      <c:valAx>
        <c:axId val="798277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98275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'[1]Revenue Charts'!$AH$35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'[1]Revenue Charts'!$AI$35:$AN$35</c:f>
              <c:numCache>
                <c:formatCode>General</c:formatCode>
                <c:ptCount val="6"/>
                <c:pt idx="1">
                  <c:v>57</c:v>
                </c:pt>
                <c:pt idx="2">
                  <c:v>59</c:v>
                </c:pt>
                <c:pt idx="3">
                  <c:v>55</c:v>
                </c:pt>
                <c:pt idx="4">
                  <c:v>52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4-452D-97E4-F04ACF1C5089}"/>
            </c:ext>
          </c:extLst>
        </c:ser>
        <c:ser>
          <c:idx val="1"/>
          <c:order val="1"/>
          <c:tx>
            <c:strRef>
              <c:f>'[1]Revenue Charts'!$AH$36</c:f>
              <c:strCache>
                <c:ptCount val="1"/>
                <c:pt idx="0">
                  <c:v>CRM &amp; 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'[1]Revenue Charts'!$AI$36:$AN$36</c:f>
              <c:numCache>
                <c:formatCode>General</c:formatCode>
                <c:ptCount val="6"/>
                <c:pt idx="1">
                  <c:v>28</c:v>
                </c:pt>
                <c:pt idx="2">
                  <c:v>26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44-452D-97E4-F04ACF1C5089}"/>
            </c:ext>
          </c:extLst>
        </c:ser>
        <c:ser>
          <c:idx val="2"/>
          <c:order val="2"/>
          <c:tx>
            <c:strRef>
              <c:f>'[1]Revenue Charts'!$AH$37</c:f>
              <c:strCache>
                <c:ptCount val="1"/>
                <c:pt idx="0">
                  <c:v>Creator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'[1]Revenue Charts'!$AI$37:$AN$37</c:f>
              <c:numCache>
                <c:formatCode>General</c:formatCode>
                <c:ptCount val="6"/>
                <c:pt idx="1">
                  <c:v>15</c:v>
                </c:pt>
                <c:pt idx="2">
                  <c:v>15</c:v>
                </c:pt>
                <c:pt idx="3">
                  <c:v>16</c:v>
                </c:pt>
                <c:pt idx="4">
                  <c:v>18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44-452D-97E4-F04ACF1C5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9790727"/>
        <c:axId val="1429793287"/>
      </c:barChart>
      <c:catAx>
        <c:axId val="1429790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793287"/>
        <c:crosses val="autoZero"/>
        <c:auto val="1"/>
        <c:lblAlgn val="ctr"/>
        <c:lblOffset val="100"/>
        <c:noMultiLvlLbl val="0"/>
      </c:catAx>
      <c:valAx>
        <c:axId val="14297932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2979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'!$AY$8:$AZ$8</c:f>
              <c:strCache>
                <c:ptCount val="2"/>
                <c:pt idx="0">
                  <c:v>Rule of 50 (%)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'!$BA$7:$BD$7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'!$BA$8:$BD$8</c:f>
              <c:numCache>
                <c:formatCode>0.00%</c:formatCode>
                <c:ptCount val="4"/>
                <c:pt idx="0">
                  <c:v>0.52900000000000003</c:v>
                </c:pt>
                <c:pt idx="1">
                  <c:v>0.53900000000000003</c:v>
                </c:pt>
                <c:pt idx="2">
                  <c:v>0.53500000000000003</c:v>
                </c:pt>
                <c:pt idx="3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7-45ED-8181-549B38418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797640"/>
        <c:axId val="1262830599"/>
      </c:barChart>
      <c:catAx>
        <c:axId val="127379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830599"/>
        <c:crosses val="autoZero"/>
        <c:auto val="1"/>
        <c:lblAlgn val="ctr"/>
        <c:lblOffset val="100"/>
        <c:noMultiLvlLbl val="0"/>
      </c:catAx>
      <c:valAx>
        <c:axId val="12628305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7379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'!$AY$15:$AZ$15</c:f>
              <c:strCache>
                <c:ptCount val="2"/>
                <c:pt idx="0">
                  <c:v>Crpo/Rpo Ratio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'!$BA$14:$BD$14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'!$BA$15:$BD$15</c:f>
              <c:numCache>
                <c:formatCode>0.000</c:formatCode>
                <c:ptCount val="4"/>
                <c:pt idx="0">
                  <c:v>0.49444444444444446</c:v>
                </c:pt>
                <c:pt idx="1">
                  <c:v>0.47333333333333333</c:v>
                </c:pt>
                <c:pt idx="2">
                  <c:v>0.47040358744394617</c:v>
                </c:pt>
                <c:pt idx="3">
                  <c:v>0.45567375886524825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1-426A-839E-0F8B9862E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874503"/>
        <c:axId val="536028168"/>
      </c:barChart>
      <c:catAx>
        <c:axId val="1744874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28168"/>
        <c:crosses val="autoZero"/>
        <c:auto val="1"/>
        <c:lblAlgn val="ctr"/>
        <c:lblOffset val="100"/>
        <c:noMultiLvlLbl val="0"/>
      </c:catAx>
      <c:valAx>
        <c:axId val="536028168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744874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'!$AY$20:$AZ$20</c:f>
              <c:strCache>
                <c:ptCount val="2"/>
                <c:pt idx="0">
                  <c:v>FCF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'!$BA$19:$BD$19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'!$BA$20:$BD$20</c:f>
              <c:numCache>
                <c:formatCode>#,##0.0_);\(#,##0.0\);0.0_);@_)</c:formatCode>
                <c:ptCount val="4"/>
                <c:pt idx="0">
                  <c:v>2173</c:v>
                </c:pt>
                <c:pt idx="1">
                  <c:v>2704</c:v>
                </c:pt>
                <c:pt idx="2">
                  <c:v>3415</c:v>
                </c:pt>
                <c:pt idx="3">
                  <c:v>4576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4-4742-BF5F-159844967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172551"/>
        <c:axId val="1912174599"/>
      </c:barChart>
      <c:catAx>
        <c:axId val="1912172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74599"/>
        <c:crosses val="autoZero"/>
        <c:auto val="1"/>
        <c:lblAlgn val="ctr"/>
        <c:lblOffset val="100"/>
        <c:noMultiLvlLbl val="0"/>
      </c:catAx>
      <c:valAx>
        <c:axId val="1912174599"/>
        <c:scaling>
          <c:orientation val="minMax"/>
        </c:scaling>
        <c:delete val="0"/>
        <c:axPos val="l"/>
        <c:numFmt formatCode="#,##0.0_);\(#,##0.0\);0.0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72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'!$BI$5:$BJ$5</c:f>
              <c:strCache>
                <c:ptCount val="2"/>
                <c:pt idx="0">
                  <c:v>Deferred Revenue % of crpo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'!$BK$4:$BN$4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'!$BK$5:$BN$5</c:f>
              <c:numCache>
                <c:formatCode>0.00%</c:formatCode>
                <c:ptCount val="4"/>
                <c:pt idx="0">
                  <c:v>0.6544943820224719</c:v>
                </c:pt>
                <c:pt idx="1">
                  <c:v>0.6789906103286385</c:v>
                </c:pt>
                <c:pt idx="2">
                  <c:v>0.65004766444232598</c:v>
                </c:pt>
                <c:pt idx="3">
                  <c:v>0.64700389105058365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B-4BB8-9810-A2F8F5492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749831"/>
        <c:axId val="940751879"/>
      </c:barChart>
      <c:catAx>
        <c:axId val="940749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751879"/>
        <c:crosses val="autoZero"/>
        <c:auto val="1"/>
        <c:lblAlgn val="ctr"/>
        <c:lblOffset val="100"/>
        <c:noMultiLvlLbl val="0"/>
      </c:catAx>
      <c:valAx>
        <c:axId val="9407518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4074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'!$AY$2:$AZ$2</c:f>
              <c:strCache>
                <c:ptCount val="2"/>
                <c:pt idx="0">
                  <c:v>Magic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'!$BA$1:$BD$1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'Charts '!$BA$2:$BD$2</c:f>
              <c:numCache>
                <c:formatCode>0.00</c:formatCode>
                <c:ptCount val="4"/>
                <c:pt idx="0">
                  <c:v>0.82</c:v>
                </c:pt>
                <c:pt idx="1">
                  <c:v>0.78</c:v>
                </c:pt>
                <c:pt idx="2">
                  <c:v>0.88</c:v>
                </c:pt>
                <c:pt idx="3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C-4CAE-8870-AD21F2954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638983"/>
        <c:axId val="528641031"/>
      </c:barChart>
      <c:catAx>
        <c:axId val="528638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41031"/>
        <c:crosses val="autoZero"/>
        <c:auto val="1"/>
        <c:lblAlgn val="ctr"/>
        <c:lblOffset val="100"/>
        <c:noMultiLvlLbl val="0"/>
      </c:catAx>
      <c:valAx>
        <c:axId val="52864103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3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'!$AT$39:$AU$39</c:f>
              <c:strCache>
                <c:ptCount val="2"/>
                <c:pt idx="0">
                  <c:v>NNACV  in Now Assist (in millions) </c:v>
                </c:pt>
              </c:strCache>
            </c:strRef>
          </c:tx>
          <c:spPr>
            <a:solidFill>
              <a:srgbClr val="53E05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'Charts '!$AV$38:$AX$38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'Charts '!$AV$39:$AX$39</c:f>
              <c:numCache>
                <c:formatCode>0</c:formatCode>
                <c:ptCount val="3"/>
                <c:pt idx="0">
                  <c:v>250</c:v>
                </c:pt>
                <c:pt idx="1">
                  <c:v>600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A-487A-8223-A02DD44A3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664008"/>
        <c:axId val="545670152"/>
      </c:barChart>
      <c:catAx>
        <c:axId val="545664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70152"/>
        <c:crosses val="autoZero"/>
        <c:auto val="1"/>
        <c:lblAlgn val="ctr"/>
        <c:lblOffset val="100"/>
        <c:noMultiLvlLbl val="0"/>
      </c:catAx>
      <c:valAx>
        <c:axId val="54567015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45664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16</xdr:row>
      <xdr:rowOff>9525</xdr:rowOff>
    </xdr:from>
    <xdr:to>
      <xdr:col>4</xdr:col>
      <xdr:colOff>647700</xdr:colOff>
      <xdr:row>21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CA3AA-D62E-5CDE-6CAE-5A624BEDE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76550"/>
          <a:ext cx="4562475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654050</xdr:colOff>
      <xdr:row>11</xdr:row>
      <xdr:rowOff>31750</xdr:rowOff>
    </xdr:from>
    <xdr:to>
      <xdr:col>14</xdr:col>
      <xdr:colOff>152400</xdr:colOff>
      <xdr:row>13</xdr:row>
      <xdr:rowOff>0</xdr:rowOff>
    </xdr:to>
    <xdr:cxnSp macro="">
      <xdr:nvCxnSpPr>
        <xdr:cNvPr id="4" name="Straight Arrow Connector 7">
          <a:extLst>
            <a:ext uri="{FF2B5EF4-FFF2-40B4-BE49-F238E27FC236}">
              <a16:creationId xmlns:a16="http://schemas.microsoft.com/office/drawing/2014/main" id="{9B0F5C3F-3164-47A1-B693-19BB02D9FE56}"/>
            </a:ext>
          </a:extLst>
        </xdr:cNvPr>
        <xdr:cNvCxnSpPr/>
      </xdr:nvCxnSpPr>
      <xdr:spPr>
        <a:xfrm flipV="1">
          <a:off x="11690350" y="3238500"/>
          <a:ext cx="234950" cy="29845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647700</xdr:colOff>
      <xdr:row>11</xdr:row>
      <xdr:rowOff>38100</xdr:rowOff>
    </xdr:from>
    <xdr:to>
      <xdr:col>15</xdr:col>
      <xdr:colOff>209550</xdr:colOff>
      <xdr:row>12</xdr:row>
      <xdr:rowOff>158750</xdr:rowOff>
    </xdr:to>
    <xdr:cxnSp macro="">
      <xdr:nvCxnSpPr>
        <xdr:cNvPr id="2" name="Straight Arrow Connector 8">
          <a:extLst>
            <a:ext uri="{FF2B5EF4-FFF2-40B4-BE49-F238E27FC236}">
              <a16:creationId xmlns:a16="http://schemas.microsoft.com/office/drawing/2014/main" id="{2560F82E-F977-4BD7-9E6C-630769E909AF}"/>
            </a:ext>
          </a:extLst>
        </xdr:cNvPr>
        <xdr:cNvCxnSpPr/>
      </xdr:nvCxnSpPr>
      <xdr:spPr>
        <a:xfrm flipV="1">
          <a:off x="12420600" y="3244850"/>
          <a:ext cx="298450" cy="28575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765175</xdr:colOff>
      <xdr:row>10</xdr:row>
      <xdr:rowOff>88900</xdr:rowOff>
    </xdr:from>
    <xdr:to>
      <xdr:col>11</xdr:col>
      <xdr:colOff>92075</xdr:colOff>
      <xdr:row>13</xdr:row>
      <xdr:rowOff>0</xdr:rowOff>
    </xdr:to>
    <xdr:cxnSp macro="">
      <xdr:nvCxnSpPr>
        <xdr:cNvPr id="12" name="Straight Arrow Connector 4">
          <a:extLst>
            <a:ext uri="{FF2B5EF4-FFF2-40B4-BE49-F238E27FC236}">
              <a16:creationId xmlns:a16="http://schemas.microsoft.com/office/drawing/2014/main" id="{02A4423F-E025-2F82-A7F8-4C8D03F7E100}"/>
            </a:ext>
            <a:ext uri="{147F2762-F138-4A5C-976F-8EAC2B608ADB}">
              <a16:predDERef xmlns:a16="http://schemas.microsoft.com/office/drawing/2014/main" pred="{452E0623-1437-F66C-18C1-3BCAA2346DDA}"/>
            </a:ext>
          </a:extLst>
        </xdr:cNvPr>
        <xdr:cNvCxnSpPr/>
      </xdr:nvCxnSpPr>
      <xdr:spPr>
        <a:xfrm flipV="1">
          <a:off x="9032875" y="3108325"/>
          <a:ext cx="241300" cy="396875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939800</xdr:colOff>
      <xdr:row>10</xdr:row>
      <xdr:rowOff>107950</xdr:rowOff>
    </xdr:from>
    <xdr:to>
      <xdr:col>10</xdr:col>
      <xdr:colOff>374650</xdr:colOff>
      <xdr:row>12</xdr:row>
      <xdr:rowOff>152400</xdr:rowOff>
    </xdr:to>
    <xdr:cxnSp macro="">
      <xdr:nvCxnSpPr>
        <xdr:cNvPr id="13" name="Straight Arrow Connector 2">
          <a:extLst>
            <a:ext uri="{FF2B5EF4-FFF2-40B4-BE49-F238E27FC236}">
              <a16:creationId xmlns:a16="http://schemas.microsoft.com/office/drawing/2014/main" id="{452E0623-1437-F66C-18C1-3BCAA2346DDA}"/>
            </a:ext>
          </a:extLst>
        </xdr:cNvPr>
        <xdr:cNvCxnSpPr/>
      </xdr:nvCxnSpPr>
      <xdr:spPr>
        <a:xfrm flipV="1">
          <a:off x="8585200" y="3149600"/>
          <a:ext cx="393700" cy="37465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660400</xdr:colOff>
      <xdr:row>10</xdr:row>
      <xdr:rowOff>158750</xdr:rowOff>
    </xdr:from>
    <xdr:to>
      <xdr:col>13</xdr:col>
      <xdr:colOff>152400</xdr:colOff>
      <xdr:row>12</xdr:row>
      <xdr:rowOff>152400</xdr:rowOff>
    </xdr:to>
    <xdr:cxnSp macro="">
      <xdr:nvCxnSpPr>
        <xdr:cNvPr id="10" name="Straight Arrow Connector 6">
          <a:extLst>
            <a:ext uri="{FF2B5EF4-FFF2-40B4-BE49-F238E27FC236}">
              <a16:creationId xmlns:a16="http://schemas.microsoft.com/office/drawing/2014/main" id="{74CC29A7-50C6-4FD5-BA19-19F5C5B78C30}"/>
            </a:ext>
          </a:extLst>
        </xdr:cNvPr>
        <xdr:cNvCxnSpPr/>
      </xdr:nvCxnSpPr>
      <xdr:spPr>
        <a:xfrm flipV="1">
          <a:off x="10960100" y="3200400"/>
          <a:ext cx="228600" cy="32385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10</xdr:row>
      <xdr:rowOff>139700</xdr:rowOff>
    </xdr:from>
    <xdr:to>
      <xdr:col>12</xdr:col>
      <xdr:colOff>127000</xdr:colOff>
      <xdr:row>12</xdr:row>
      <xdr:rowOff>133350</xdr:rowOff>
    </xdr:to>
    <xdr:cxnSp macro="">
      <xdr:nvCxnSpPr>
        <xdr:cNvPr id="11" name="Straight Arrow Connector 5">
          <a:extLst>
            <a:ext uri="{FF2B5EF4-FFF2-40B4-BE49-F238E27FC236}">
              <a16:creationId xmlns:a16="http://schemas.microsoft.com/office/drawing/2014/main" id="{84B0E6CB-5219-4827-A298-A7025094A12F}"/>
            </a:ext>
          </a:extLst>
        </xdr:cNvPr>
        <xdr:cNvCxnSpPr/>
      </xdr:nvCxnSpPr>
      <xdr:spPr>
        <a:xfrm flipV="1">
          <a:off x="10096500" y="3181350"/>
          <a:ext cx="330200" cy="32385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590550</xdr:colOff>
      <xdr:row>11</xdr:row>
      <xdr:rowOff>47625</xdr:rowOff>
    </xdr:from>
    <xdr:to>
      <xdr:col>16</xdr:col>
      <xdr:colOff>152400</xdr:colOff>
      <xdr:row>13</xdr:row>
      <xdr:rowOff>6350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1CCEA00-2799-4759-8A01-40D0704694BF}"/>
            </a:ext>
            <a:ext uri="{147F2762-F138-4A5C-976F-8EAC2B608ADB}">
              <a16:predDERef xmlns:a16="http://schemas.microsoft.com/office/drawing/2014/main" pred="{2560F82E-F977-4BD7-9E6C-630769E909AF}"/>
            </a:ext>
          </a:extLst>
        </xdr:cNvPr>
        <xdr:cNvCxnSpPr/>
      </xdr:nvCxnSpPr>
      <xdr:spPr>
        <a:xfrm flipV="1">
          <a:off x="12592050" y="3228975"/>
          <a:ext cx="314325" cy="282575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647700</xdr:colOff>
      <xdr:row>11</xdr:row>
      <xdr:rowOff>38100</xdr:rowOff>
    </xdr:from>
    <xdr:to>
      <xdr:col>17</xdr:col>
      <xdr:colOff>209550</xdr:colOff>
      <xdr:row>12</xdr:row>
      <xdr:rowOff>158750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83B0B6F-2067-4742-BD12-A6AC877A58E0}"/>
            </a:ext>
          </a:extLst>
        </xdr:cNvPr>
        <xdr:cNvCxnSpPr/>
      </xdr:nvCxnSpPr>
      <xdr:spPr>
        <a:xfrm flipV="1">
          <a:off x="13157200" y="3244850"/>
          <a:ext cx="349250" cy="285750"/>
        </a:xfrm>
        <a:prstGeom prst="straightConnector1">
          <a:avLst/>
        </a:prstGeom>
        <a:ln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14287</xdr:rowOff>
    </xdr:from>
    <xdr:to>
      <xdr:col>7</xdr:col>
      <xdr:colOff>180975</xdr:colOff>
      <xdr:row>20</xdr:row>
      <xdr:rowOff>4762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66114E04-4833-46F8-B9DE-F58AA79FD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</xdr:colOff>
      <xdr:row>11</xdr:row>
      <xdr:rowOff>33337</xdr:rowOff>
    </xdr:from>
    <xdr:to>
      <xdr:col>16</xdr:col>
      <xdr:colOff>538162</xdr:colOff>
      <xdr:row>28</xdr:row>
      <xdr:rowOff>23812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F89EF086-C6EC-448F-AB9C-5B4E00982B02}"/>
            </a:ext>
            <a:ext uri="{147F2762-F138-4A5C-976F-8EAC2B608ADB}">
              <a16:predDERef xmlns:a16="http://schemas.microsoft.com/office/drawing/2014/main" pred="{66114E04-4833-46F8-B9DE-F58AA79FD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</xdr:row>
      <xdr:rowOff>90487</xdr:rowOff>
    </xdr:from>
    <xdr:to>
      <xdr:col>24</xdr:col>
      <xdr:colOff>452437</xdr:colOff>
      <xdr:row>23</xdr:row>
      <xdr:rowOff>80962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A0AB1F2E-6291-466D-A937-13C8A7B86D17}"/>
            </a:ext>
            <a:ext uri="{147F2762-F138-4A5C-976F-8EAC2B608ADB}">
              <a16:predDERef xmlns:a16="http://schemas.microsoft.com/office/drawing/2014/main" pred="{F89EF086-C6EC-448F-AB9C-5B4E00982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52387</xdr:colOff>
      <xdr:row>23</xdr:row>
      <xdr:rowOff>61912</xdr:rowOff>
    </xdr:from>
    <xdr:to>
      <xdr:col>9</xdr:col>
      <xdr:colOff>966787</xdr:colOff>
      <xdr:row>40</xdr:row>
      <xdr:rowOff>52387</xdr:rowOff>
    </xdr:to>
    <xdr:graphicFrame macro="">
      <xdr:nvGraphicFramePr>
        <xdr:cNvPr id="16" name="Chart 4">
          <a:extLst>
            <a:ext uri="{FF2B5EF4-FFF2-40B4-BE49-F238E27FC236}">
              <a16:creationId xmlns:a16="http://schemas.microsoft.com/office/drawing/2014/main" id="{98015478-3DCA-4034-8092-B1BAC960F331}"/>
            </a:ext>
            <a:ext uri="{147F2762-F138-4A5C-976F-8EAC2B608ADB}">
              <a16:predDERef xmlns:a16="http://schemas.microsoft.com/office/drawing/2014/main" pred="{A0AB1F2E-6291-466D-A937-13C8A7B86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533400</xdr:colOff>
      <xdr:row>38</xdr:row>
      <xdr:rowOff>19050</xdr:rowOff>
    </xdr:from>
    <xdr:to>
      <xdr:col>23</xdr:col>
      <xdr:colOff>171450</xdr:colOff>
      <xdr:row>55</xdr:row>
      <xdr:rowOff>9525</xdr:rowOff>
    </xdr:to>
    <xdr:graphicFrame macro="">
      <xdr:nvGraphicFramePr>
        <xdr:cNvPr id="17" name="Chart 5">
          <a:extLst>
            <a:ext uri="{FF2B5EF4-FFF2-40B4-BE49-F238E27FC236}">
              <a16:creationId xmlns:a16="http://schemas.microsoft.com/office/drawing/2014/main" id="{44CE1677-9B1C-4BCC-AE99-F3FD140CE0DD}"/>
            </a:ext>
            <a:ext uri="{147F2762-F138-4A5C-976F-8EAC2B608ADB}">
              <a16:predDERef xmlns:a16="http://schemas.microsoft.com/office/drawing/2014/main" pred="{98015478-3DCA-4034-8092-B1BAC960F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247650</xdr:colOff>
      <xdr:row>52</xdr:row>
      <xdr:rowOff>47625</xdr:rowOff>
    </xdr:from>
    <xdr:to>
      <xdr:col>14</xdr:col>
      <xdr:colOff>371475</xdr:colOff>
      <xdr:row>69</xdr:row>
      <xdr:rowOff>38100</xdr:rowOff>
    </xdr:to>
    <xdr:graphicFrame macro="">
      <xdr:nvGraphicFramePr>
        <xdr:cNvPr id="18" name="Chart 6">
          <a:extLst>
            <a:ext uri="{FF2B5EF4-FFF2-40B4-BE49-F238E27FC236}">
              <a16:creationId xmlns:a16="http://schemas.microsoft.com/office/drawing/2014/main" id="{883208CC-BDBE-4346-A163-3F31344C41DA}"/>
            </a:ext>
            <a:ext uri="{147F2762-F138-4A5C-976F-8EAC2B608ADB}">
              <a16:predDERef xmlns:a16="http://schemas.microsoft.com/office/drawing/2014/main" pred="{44CE1677-9B1C-4BCC-AE99-F3FD140CE0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561975</xdr:colOff>
      <xdr:row>17</xdr:row>
      <xdr:rowOff>104775</xdr:rowOff>
    </xdr:from>
    <xdr:to>
      <xdr:col>33</xdr:col>
      <xdr:colOff>257175</xdr:colOff>
      <xdr:row>34</xdr:row>
      <xdr:rowOff>95250</xdr:rowOff>
    </xdr:to>
    <xdr:graphicFrame macro="">
      <xdr:nvGraphicFramePr>
        <xdr:cNvPr id="19" name="Chart 7">
          <a:extLst>
            <a:ext uri="{FF2B5EF4-FFF2-40B4-BE49-F238E27FC236}">
              <a16:creationId xmlns:a16="http://schemas.microsoft.com/office/drawing/2014/main" id="{7BFE305F-0F05-4097-9D0F-CEA40DE99137}"/>
            </a:ext>
            <a:ext uri="{147F2762-F138-4A5C-976F-8EAC2B608ADB}">
              <a16:predDERef xmlns:a16="http://schemas.microsoft.com/office/drawing/2014/main" pred="{883208CC-BDBE-4346-A163-3F31344C4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495300</xdr:colOff>
      <xdr:row>17</xdr:row>
      <xdr:rowOff>114300</xdr:rowOff>
    </xdr:from>
    <xdr:to>
      <xdr:col>41</xdr:col>
      <xdr:colOff>190500</xdr:colOff>
      <xdr:row>34</xdr:row>
      <xdr:rowOff>104775</xdr:rowOff>
    </xdr:to>
    <xdr:graphicFrame macro="">
      <xdr:nvGraphicFramePr>
        <xdr:cNvPr id="20" name="Chart 8">
          <a:extLst>
            <a:ext uri="{FF2B5EF4-FFF2-40B4-BE49-F238E27FC236}">
              <a16:creationId xmlns:a16="http://schemas.microsoft.com/office/drawing/2014/main" id="{3898464E-A1E5-4595-AD2F-2E1D4D86E6D8}"/>
            </a:ext>
            <a:ext uri="{147F2762-F138-4A5C-976F-8EAC2B608ADB}">
              <a16:predDERef xmlns:a16="http://schemas.microsoft.com/office/drawing/2014/main" pred="{7BFE305F-0F05-4097-9D0F-CEA40DE99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304800</xdr:colOff>
      <xdr:row>8</xdr:row>
      <xdr:rowOff>38100</xdr:rowOff>
    </xdr:from>
    <xdr:to>
      <xdr:col>49</xdr:col>
      <xdr:colOff>0</xdr:colOff>
      <xdr:row>25</xdr:row>
      <xdr:rowOff>28575</xdr:rowOff>
    </xdr:to>
    <xdr:graphicFrame macro="">
      <xdr:nvGraphicFramePr>
        <xdr:cNvPr id="21" name="Chart 9">
          <a:extLst>
            <a:ext uri="{FF2B5EF4-FFF2-40B4-BE49-F238E27FC236}">
              <a16:creationId xmlns:a16="http://schemas.microsoft.com/office/drawing/2014/main" id="{34998704-85D2-46E5-8C0C-1BE53158B9A9}"/>
            </a:ext>
            <a:ext uri="{147F2762-F138-4A5C-976F-8EAC2B608ADB}">
              <a16:predDERef xmlns:a16="http://schemas.microsoft.com/office/drawing/2014/main" pred="{3898464E-A1E5-4595-AD2F-2E1D4D86E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23</xdr:col>
      <xdr:colOff>76200</xdr:colOff>
      <xdr:row>36</xdr:row>
      <xdr:rowOff>142875</xdr:rowOff>
    </xdr:from>
    <xdr:to>
      <xdr:col>30</xdr:col>
      <xdr:colOff>381000</xdr:colOff>
      <xdr:row>53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9F9547-CBC8-4204-A0B9-48D32511049A}"/>
            </a:ext>
            <a:ext uri="{147F2762-F138-4A5C-976F-8EAC2B608ADB}">
              <a16:predDERef xmlns:a16="http://schemas.microsoft.com/office/drawing/2014/main" pred="{34998704-85D2-46E5-8C0C-1BE53158B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668750" y="5972175"/>
          <a:ext cx="4572000" cy="2743200"/>
        </a:xfrm>
        <a:prstGeom prst="rect">
          <a:avLst/>
        </a:prstGeom>
      </xdr:spPr>
    </xdr:pic>
    <xdr:clientData/>
  </xdr:twoCellAnchor>
  <xdr:twoCellAnchor>
    <xdr:from>
      <xdr:col>23</xdr:col>
      <xdr:colOff>476250</xdr:colOff>
      <xdr:row>36</xdr:row>
      <xdr:rowOff>66675</xdr:rowOff>
    </xdr:from>
    <xdr:to>
      <xdr:col>31</xdr:col>
      <xdr:colOff>171450</xdr:colOff>
      <xdr:row>53</xdr:row>
      <xdr:rowOff>57150</xdr:rowOff>
    </xdr:to>
    <xdr:graphicFrame macro="">
      <xdr:nvGraphicFramePr>
        <xdr:cNvPr id="22" name="Chart 11">
          <a:extLst>
            <a:ext uri="{FF2B5EF4-FFF2-40B4-BE49-F238E27FC236}">
              <a16:creationId xmlns:a16="http://schemas.microsoft.com/office/drawing/2014/main" id="{9217CA53-7C88-439A-8900-07B460CB443B}"/>
            </a:ext>
            <a:ext uri="{147F2762-F138-4A5C-976F-8EAC2B608ADB}">
              <a16:predDERef xmlns:a16="http://schemas.microsoft.com/office/drawing/2014/main" pred="{209F9547-CBC8-4204-A0B9-48D325110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75</xdr:col>
      <xdr:colOff>457200</xdr:colOff>
      <xdr:row>6</xdr:row>
      <xdr:rowOff>114300</xdr:rowOff>
    </xdr:from>
    <xdr:to>
      <xdr:col>83</xdr:col>
      <xdr:colOff>152400</xdr:colOff>
      <xdr:row>22</xdr:row>
      <xdr:rowOff>123825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A5794EC9-7043-7537-4090-9E8173355365}"/>
            </a:ext>
            <a:ext uri="{147F2762-F138-4A5C-976F-8EAC2B608ADB}">
              <a16:predDERef xmlns:a16="http://schemas.microsoft.com/office/drawing/2014/main" pred="{E9DDB812-F0B8-08A9-0EA8-D434212E6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67</xdr:col>
      <xdr:colOff>428625</xdr:colOff>
      <xdr:row>25</xdr:row>
      <xdr:rowOff>0</xdr:rowOff>
    </xdr:from>
    <xdr:to>
      <xdr:col>75</xdr:col>
      <xdr:colOff>123825</xdr:colOff>
      <xdr:row>28</xdr:row>
      <xdr:rowOff>123825</xdr:rowOff>
    </xdr:to>
    <xdr:graphicFrame macro="">
      <xdr:nvGraphicFramePr>
        <xdr:cNvPr id="24" name="Chart 5">
          <a:extLst>
            <a:ext uri="{FF2B5EF4-FFF2-40B4-BE49-F238E27FC236}">
              <a16:creationId xmlns:a16="http://schemas.microsoft.com/office/drawing/2014/main" id="{129DCD8B-9952-C07C-052B-C6372A2F9218}"/>
            </a:ext>
            <a:ext uri="{147F2762-F138-4A5C-976F-8EAC2B608ADB}">
              <a16:predDERef xmlns:a16="http://schemas.microsoft.com/office/drawing/2014/main" pred="{A5794EC9-7043-7537-4090-9E8173355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41</xdr:col>
      <xdr:colOff>552450</xdr:colOff>
      <xdr:row>2</xdr:row>
      <xdr:rowOff>28575</xdr:rowOff>
    </xdr:from>
    <xdr:to>
      <xdr:col>49</xdr:col>
      <xdr:colOff>247650</xdr:colOff>
      <xdr:row>19</xdr:row>
      <xdr:rowOff>19050</xdr:rowOff>
    </xdr:to>
    <xdr:graphicFrame macro="">
      <xdr:nvGraphicFramePr>
        <xdr:cNvPr id="28" name="Chart 6">
          <a:extLst>
            <a:ext uri="{FF2B5EF4-FFF2-40B4-BE49-F238E27FC236}">
              <a16:creationId xmlns:a16="http://schemas.microsoft.com/office/drawing/2014/main" id="{278388C1-78C4-93EF-52DC-4B394BE6E56D}"/>
            </a:ext>
            <a:ext uri="{147F2762-F138-4A5C-976F-8EAC2B608ADB}">
              <a16:predDERef xmlns:a16="http://schemas.microsoft.com/office/drawing/2014/main" pred="{129DCD8B-9952-C07C-052B-C6372A2F9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67</xdr:col>
      <xdr:colOff>428625</xdr:colOff>
      <xdr:row>6</xdr:row>
      <xdr:rowOff>38100</xdr:rowOff>
    </xdr:from>
    <xdr:to>
      <xdr:col>75</xdr:col>
      <xdr:colOff>123825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ECCC3-7B4D-EB71-E7CE-D6F381F4F2F9}"/>
            </a:ext>
            <a:ext uri="{147F2762-F138-4A5C-976F-8EAC2B608ADB}">
              <a16:predDERef xmlns:a16="http://schemas.microsoft.com/office/drawing/2014/main" pred="{278388C1-78C4-93EF-52DC-4B394BE6E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76</xdr:col>
      <xdr:colOff>0</xdr:colOff>
      <xdr:row>25</xdr:row>
      <xdr:rowOff>9525</xdr:rowOff>
    </xdr:from>
    <xdr:to>
      <xdr:col>83</xdr:col>
      <xdr:colOff>304800</xdr:colOff>
      <xdr:row>28</xdr:row>
      <xdr:rowOff>352425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626FF5-3EAF-B73B-88E3-1773DF7B3E0E}"/>
            </a:ext>
            <a:ext uri="{147F2762-F138-4A5C-976F-8EAC2B608ADB}">
              <a16:predDERef xmlns:a16="http://schemas.microsoft.com/office/drawing/2014/main" pred="{79AECCC3-7B4D-EB71-E7CE-D6F381F4F2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51</xdr:col>
      <xdr:colOff>333375</xdr:colOff>
      <xdr:row>30</xdr:row>
      <xdr:rowOff>152400</xdr:rowOff>
    </xdr:from>
    <xdr:to>
      <xdr:col>58</xdr:col>
      <xdr:colOff>238125</xdr:colOff>
      <xdr:row>47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AA4BF0-6EBE-E25F-9B85-29A22D91EE9B}"/>
            </a:ext>
            <a:ext uri="{147F2762-F138-4A5C-976F-8EAC2B608ADB}">
              <a16:predDERef xmlns:a16="http://schemas.microsoft.com/office/drawing/2014/main" pred="{9C626FF5-3EAF-B73B-88E3-1773DF7B3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muhalifax-my.sharepoint.com/personal/aryaan_rajwani_smu_ca/Documents/Book1.xlsx" TargetMode="External"/><Relationship Id="rId1" Type="http://schemas.openxmlformats.org/officeDocument/2006/relationships/externalLinkPath" Target="https://smuhalifax-my.sharepoint.com/personal/aryaan_rajwani_smu_ca/Documents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yDWS2iibUyxS2A4l8UPwoWvfslND-1DrtriGAJ8UPUzZ19jlC-URajTAEGcpowv" itemId="013GWWRN4CPLUUJMHQB5FJY2I6HZVNTBRU">
      <xxl21:absoluteUrl r:id="rId2"/>
    </xxl21:alternateUrls>
    <sheetNames>
      <sheetName val="Cover"/>
      <sheetName val="Revenue Charts"/>
      <sheetName val="DCF"/>
      <sheetName val="Comps"/>
    </sheetNames>
    <sheetDataSet>
      <sheetData sheetId="0"/>
      <sheetData sheetId="1">
        <row r="1">
          <cell r="A1" t="str">
            <v>North America</v>
          </cell>
          <cell r="B1" t="str">
            <v>EMEA</v>
          </cell>
          <cell r="C1" t="str">
            <v xml:space="preserve">APAC </v>
          </cell>
          <cell r="P1" t="str">
            <v>Subscription</v>
          </cell>
          <cell r="Q1" t="str">
            <v>Other</v>
          </cell>
          <cell r="T1">
            <v>2025</v>
          </cell>
          <cell r="U1" t="str">
            <v>2026E</v>
          </cell>
          <cell r="V1" t="str">
            <v>2027E</v>
          </cell>
        </row>
        <row r="2">
          <cell r="A2">
            <v>63</v>
          </cell>
          <cell r="B2">
            <v>25</v>
          </cell>
          <cell r="C2">
            <v>12</v>
          </cell>
          <cell r="P2">
            <v>97.03</v>
          </cell>
          <cell r="Q2">
            <v>2.97</v>
          </cell>
          <cell r="T2">
            <v>8800</v>
          </cell>
          <cell r="U2">
            <v>9200</v>
          </cell>
          <cell r="V2">
            <v>9500</v>
          </cell>
        </row>
        <row r="3">
          <cell r="AC3" t="str">
            <v>NOW</v>
          </cell>
          <cell r="AD3" t="str">
            <v>TEAM</v>
          </cell>
          <cell r="AG3" t="str">
            <v>Others</v>
          </cell>
          <cell r="AP3" t="str">
            <v>ORCL</v>
          </cell>
          <cell r="AQ3" t="str">
            <v>SAP</v>
          </cell>
          <cell r="AR3" t="str">
            <v>MSFT</v>
          </cell>
          <cell r="AS3" t="str">
            <v>WDAY</v>
          </cell>
          <cell r="AT3" t="str">
            <v>Others</v>
          </cell>
        </row>
        <row r="4">
          <cell r="AB4" t="str">
            <v>IT Service Management</v>
          </cell>
          <cell r="AC4">
            <v>44</v>
          </cell>
          <cell r="AD4">
            <v>15</v>
          </cell>
          <cell r="AG4">
            <v>41</v>
          </cell>
          <cell r="AO4" t="str">
            <v>Enterprise Resource Management</v>
          </cell>
          <cell r="AP4">
            <v>28</v>
          </cell>
          <cell r="AQ4">
            <v>24</v>
          </cell>
          <cell r="AR4">
            <v>18</v>
          </cell>
          <cell r="AS4">
            <v>6</v>
          </cell>
          <cell r="AT4">
            <v>24</v>
          </cell>
        </row>
        <row r="8">
          <cell r="AD8" t="str">
            <v>NOW</v>
          </cell>
          <cell r="AE8" t="str">
            <v>MSFT</v>
          </cell>
          <cell r="AF8" t="str">
            <v>CRM</v>
          </cell>
          <cell r="AG8" t="str">
            <v>Others</v>
          </cell>
        </row>
        <row r="10">
          <cell r="AB10" t="str">
            <v>Client Relationship Management</v>
          </cell>
          <cell r="AD10">
            <v>2</v>
          </cell>
          <cell r="AE10">
            <v>5.7</v>
          </cell>
          <cell r="AF10">
            <v>20.7</v>
          </cell>
          <cell r="AG10">
            <v>71.599999999999994</v>
          </cell>
        </row>
        <row r="27">
          <cell r="O27">
            <v>2021</v>
          </cell>
          <cell r="P27">
            <v>2022</v>
          </cell>
          <cell r="Q27">
            <v>2023</v>
          </cell>
          <cell r="R27">
            <v>2024</v>
          </cell>
          <cell r="S27">
            <v>2025</v>
          </cell>
          <cell r="T27" t="str">
            <v>2026E</v>
          </cell>
          <cell r="U27" t="str">
            <v>2027E</v>
          </cell>
        </row>
        <row r="28">
          <cell r="O28">
            <v>7.4</v>
          </cell>
          <cell r="P28">
            <v>7.7</v>
          </cell>
          <cell r="Q28">
            <v>8.1</v>
          </cell>
          <cell r="R28">
            <v>8.4</v>
          </cell>
          <cell r="S28">
            <v>8.8000000000000007</v>
          </cell>
          <cell r="T28">
            <v>9.1999999999999993</v>
          </cell>
          <cell r="U28">
            <v>9.5</v>
          </cell>
        </row>
        <row r="29">
          <cell r="P29">
            <v>4.0540540540540515E-2</v>
          </cell>
          <cell r="Q29">
            <v>5.1948051948051875E-2</v>
          </cell>
          <cell r="R29">
            <v>3.7037037037037125E-2</v>
          </cell>
          <cell r="S29">
            <v>4.7619047619047658E-2</v>
          </cell>
          <cell r="T29">
            <v>4.5454545454545289E-2</v>
          </cell>
          <cell r="U29">
            <v>3.2608695652173995E-2</v>
          </cell>
        </row>
        <row r="35">
          <cell r="AH35" t="str">
            <v>Technology</v>
          </cell>
          <cell r="AJ35">
            <v>57</v>
          </cell>
          <cell r="AK35">
            <v>59</v>
          </cell>
          <cell r="AL35">
            <v>55</v>
          </cell>
          <cell r="AM35">
            <v>52</v>
          </cell>
          <cell r="AN35">
            <v>47</v>
          </cell>
        </row>
        <row r="36">
          <cell r="AH36" t="str">
            <v>CRM &amp; Core</v>
          </cell>
          <cell r="AJ36">
            <v>28</v>
          </cell>
          <cell r="AK36">
            <v>26</v>
          </cell>
          <cell r="AL36">
            <v>29</v>
          </cell>
          <cell r="AM36">
            <v>30</v>
          </cell>
          <cell r="AN36">
            <v>31</v>
          </cell>
        </row>
        <row r="37">
          <cell r="AH37" t="str">
            <v>Creator</v>
          </cell>
          <cell r="AJ37">
            <v>15</v>
          </cell>
          <cell r="AK37">
            <v>15</v>
          </cell>
          <cell r="AL37">
            <v>16</v>
          </cell>
          <cell r="AM37">
            <v>18</v>
          </cell>
          <cell r="AN37">
            <v>22</v>
          </cell>
        </row>
        <row r="42">
          <cell r="H42">
            <v>2020</v>
          </cell>
          <cell r="I42">
            <v>2021</v>
          </cell>
          <cell r="J42">
            <v>2022</v>
          </cell>
          <cell r="K42">
            <v>2023</v>
          </cell>
          <cell r="L42">
            <v>2024</v>
          </cell>
          <cell r="M42">
            <v>2025</v>
          </cell>
          <cell r="N42" t="str">
            <v>2026E</v>
          </cell>
          <cell r="O42" t="str">
            <v>2027E</v>
          </cell>
        </row>
        <row r="43">
          <cell r="G43" t="str">
            <v>Top Line rev</v>
          </cell>
          <cell r="H43">
            <v>4.5190000000000001</v>
          </cell>
          <cell r="I43">
            <v>5.89</v>
          </cell>
          <cell r="J43">
            <v>7.25</v>
          </cell>
          <cell r="K43">
            <v>8.9700000000000006</v>
          </cell>
          <cell r="L43">
            <v>10.98</v>
          </cell>
          <cell r="M43">
            <v>13.28</v>
          </cell>
          <cell r="N43">
            <v>15.99</v>
          </cell>
          <cell r="O43">
            <v>18.95</v>
          </cell>
        </row>
        <row r="44">
          <cell r="G44" t="str">
            <v>Rev growth</v>
          </cell>
          <cell r="I44">
            <v>0.30338570480194721</v>
          </cell>
          <cell r="J44">
            <v>0.23089983022071314</v>
          </cell>
          <cell r="K44">
            <v>0.23724137931034492</v>
          </cell>
          <cell r="L44">
            <v>0.22408026755852839</v>
          </cell>
          <cell r="M44">
            <v>0.20947176684881591</v>
          </cell>
          <cell r="N44">
            <v>0.20406626506024103</v>
          </cell>
          <cell r="O44">
            <v>0.1851156973108192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4FC37-E1E2-42D3-ACE5-5FFE5A641C3C}" name="Table2" displayName="Table2" ref="A6:K15" headerRowCount="0" totalsRowShown="0">
  <tableColumns count="11">
    <tableColumn id="1" xr3:uid="{3933073E-F63F-4666-A001-2BCB5FC59510}" name="Column1" headerRowDxfId="9"/>
    <tableColumn id="2" xr3:uid="{349E28E0-B4B8-49D8-81F8-1718D17A0E60}" name="Column2"/>
    <tableColumn id="3" xr3:uid="{8AF4C631-B7F9-4A0B-A0ED-5604D53FB779}" name="Column3" dataDxfId="8"/>
    <tableColumn id="4" xr3:uid="{35A57FA8-5C91-4F6F-87D3-424B41B20515}" name="Column4" dataDxfId="7"/>
    <tableColumn id="5" xr3:uid="{F2FC10F0-366C-42C3-9BFC-7F35A3AE96A6}" name="Column5" dataDxfId="6"/>
    <tableColumn id="6" xr3:uid="{0E94A29A-1F20-42FA-8ADB-131A1A3B741E}" name="Column6" dataDxfId="5"/>
    <tableColumn id="7" xr3:uid="{439CE87A-2F9F-47F6-A4FD-EE0BBDEE56F1}" name="Column7" dataDxfId="4"/>
    <tableColumn id="8" xr3:uid="{15C54C83-FF2D-41A6-8834-0DAF07A57A4B}" name="Column8" dataDxfId="3"/>
    <tableColumn id="9" xr3:uid="{2314A66F-5040-46C1-A704-34DFAA0F82DE}" name="Column9" dataDxfId="2"/>
    <tableColumn id="10" xr3:uid="{CC850809-7DD1-41A7-ABBA-7BD8A246ED97}" name="Column10" dataDxfId="1"/>
    <tableColumn id="11" xr3:uid="{CDA071C7-1780-4372-81E1-0CFF22ACBC07}" name="Column11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3"/>
  <sheetViews>
    <sheetView showGridLines="0" tabSelected="1" zoomScaleNormal="100" workbookViewId="0">
      <selection activeCell="F17" sqref="F17"/>
    </sheetView>
  </sheetViews>
  <sheetFormatPr defaultColWidth="9" defaultRowHeight="14"/>
  <cols>
    <col min="1" max="1" width="1.54296875" style="11" customWidth="1"/>
    <col min="2" max="2" width="30.54296875" style="11" customWidth="1"/>
    <col min="3" max="3" width="13.453125" style="11" customWidth="1"/>
    <col min="4" max="4" width="14" style="11" customWidth="1"/>
    <col min="5" max="10" width="13.453125" style="11" customWidth="1"/>
    <col min="11" max="16384" width="9" style="11"/>
  </cols>
  <sheetData>
    <row r="1" spans="1:10" s="15" customFormat="1" ht="18">
      <c r="A1" s="19" t="s">
        <v>0</v>
      </c>
      <c r="B1" s="20"/>
      <c r="C1" s="21"/>
      <c r="D1" s="25"/>
      <c r="E1" s="25"/>
      <c r="F1" s="25"/>
      <c r="G1" s="25"/>
      <c r="H1" s="25"/>
      <c r="I1" s="25"/>
      <c r="J1" s="25"/>
    </row>
    <row r="2" spans="1:10" s="15" customFormat="1" ht="18.5" thickBot="1">
      <c r="A2" s="22" t="s">
        <v>1</v>
      </c>
      <c r="B2" s="23"/>
      <c r="C2" s="24"/>
      <c r="D2" s="26"/>
      <c r="E2" s="27"/>
      <c r="F2" s="27"/>
      <c r="G2" s="27"/>
      <c r="H2" s="27"/>
      <c r="I2" s="27"/>
      <c r="J2" s="27"/>
    </row>
    <row r="3" spans="1:10" s="4" customFormat="1" ht="12.5">
      <c r="B3"/>
    </row>
    <row r="4" spans="1:10" s="291" customFormat="1">
      <c r="A4" s="276" t="s">
        <v>2</v>
      </c>
      <c r="B4" s="276"/>
      <c r="C4" s="276"/>
      <c r="D4" s="276"/>
      <c r="E4" s="276"/>
      <c r="F4" s="276"/>
      <c r="G4" s="276"/>
      <c r="H4" s="276"/>
      <c r="I4" s="276"/>
      <c r="J4" s="276"/>
    </row>
    <row r="6" spans="1:10">
      <c r="B6" s="4" t="s">
        <v>3</v>
      </c>
      <c r="C6" s="14" t="s">
        <v>0</v>
      </c>
    </row>
    <row r="7" spans="1:10">
      <c r="B7" s="4" t="s">
        <v>4</v>
      </c>
      <c r="C7" s="14" t="s">
        <v>5</v>
      </c>
    </row>
    <row r="8" spans="1:10">
      <c r="B8" s="4" t="s">
        <v>6</v>
      </c>
      <c r="C8" s="30" t="s">
        <v>7</v>
      </c>
    </row>
    <row r="9" spans="1:10">
      <c r="B9" s="4" t="s">
        <v>8</v>
      </c>
      <c r="C9" s="14" t="s">
        <v>9</v>
      </c>
    </row>
    <row r="10" spans="1:10">
      <c r="B10" s="4" t="s">
        <v>10</v>
      </c>
      <c r="C10" s="14" t="s">
        <v>11</v>
      </c>
    </row>
    <row r="11" spans="1:10">
      <c r="B11" s="4" t="s">
        <v>12</v>
      </c>
      <c r="C11" s="14" t="s">
        <v>13</v>
      </c>
    </row>
    <row r="13" spans="1:10">
      <c r="A13" s="31"/>
      <c r="B13" s="31"/>
    </row>
  </sheetData>
  <pageMargins left="0.74803149606299202" right="0.74803149606299202" top="0.98425196850393704" bottom="0.98425196850393704" header="0.511811023622047" footer="0.511811023622047"/>
  <pageSetup paperSize="9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7D11-13FB-4DD8-B19C-7978438D3FF9}">
  <dimension ref="A1:AS303"/>
  <sheetViews>
    <sheetView showGridLines="0" zoomScale="89" zoomScaleNormal="100" workbookViewId="0">
      <selection activeCell="R19" sqref="R19"/>
    </sheetView>
  </sheetViews>
  <sheetFormatPr defaultRowHeight="12.5"/>
  <cols>
    <col min="3" max="3" width="19.54296875" customWidth="1"/>
    <col min="4" max="5" width="12.1796875" bestFit="1" customWidth="1"/>
    <col min="6" max="6" width="11.7265625" customWidth="1"/>
    <col min="7" max="7" width="11.81640625" customWidth="1"/>
    <col min="8" max="8" width="11.7265625" customWidth="1"/>
    <col min="9" max="9" width="12.81640625" customWidth="1"/>
    <col min="10" max="10" width="13.453125" customWidth="1"/>
    <col min="11" max="11" width="12.453125" customWidth="1"/>
    <col min="12" max="12" width="9.54296875" bestFit="1" customWidth="1"/>
    <col min="13" max="14" width="10.54296875" bestFit="1" customWidth="1"/>
    <col min="15" max="15" width="10.54296875" customWidth="1"/>
    <col min="16" max="16" width="11.26953125" customWidth="1"/>
    <col min="17" max="17" width="10.453125" customWidth="1"/>
    <col min="18" max="18" width="13.26953125" customWidth="1"/>
    <col min="19" max="19" width="11" style="150" customWidth="1"/>
    <col min="20" max="45" width="9.1796875" style="150"/>
  </cols>
  <sheetData>
    <row r="1" spans="1:45" s="279" customFormat="1" ht="17.5">
      <c r="A1" s="277"/>
      <c r="B1" s="278" t="s">
        <v>14</v>
      </c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P1" s="321"/>
      <c r="AQ1" s="321"/>
      <c r="AR1" s="321"/>
      <c r="AS1" s="321"/>
    </row>
    <row r="2" spans="1:45" s="279" customFormat="1" ht="18">
      <c r="A2" s="277"/>
      <c r="B2" s="288" t="s">
        <v>0</v>
      </c>
      <c r="C2" s="289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  <c r="AH2" s="321"/>
      <c r="AI2" s="321"/>
      <c r="AJ2" s="321"/>
      <c r="AK2" s="321"/>
      <c r="AL2" s="321"/>
      <c r="AM2" s="321"/>
      <c r="AN2" s="321"/>
      <c r="AO2" s="321"/>
      <c r="AP2" s="321"/>
      <c r="AQ2" s="321"/>
      <c r="AR2" s="321"/>
      <c r="AS2" s="321"/>
    </row>
    <row r="3" spans="1:45" s="279" customFormat="1" ht="17.5">
      <c r="A3" s="277"/>
      <c r="B3" s="278" t="s">
        <v>15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321"/>
      <c r="AK3" s="321"/>
      <c r="AL3" s="321"/>
      <c r="AM3" s="321"/>
      <c r="AN3" s="321"/>
      <c r="AO3" s="321"/>
      <c r="AP3" s="321"/>
      <c r="AQ3" s="321"/>
      <c r="AR3" s="321"/>
      <c r="AS3" s="321"/>
    </row>
    <row r="4" spans="1:45" s="279" customFormat="1" ht="18">
      <c r="A4" s="277"/>
      <c r="B4" s="278" t="s">
        <v>16</v>
      </c>
      <c r="C4" s="280"/>
      <c r="D4" s="280"/>
      <c r="E4" s="280"/>
      <c r="F4" s="280"/>
      <c r="G4" s="277"/>
      <c r="H4" s="277"/>
      <c r="I4" s="277"/>
      <c r="J4" s="277"/>
      <c r="K4" s="277"/>
      <c r="L4" s="277"/>
      <c r="M4" s="277"/>
      <c r="N4" s="277"/>
      <c r="O4" s="277"/>
      <c r="P4" s="277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</row>
    <row r="5" spans="1:45" ht="13">
      <c r="A5" s="678"/>
      <c r="B5" s="678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45" s="279" customFormat="1" ht="13">
      <c r="A6" s="281"/>
      <c r="B6" s="278" t="s">
        <v>17</v>
      </c>
      <c r="C6" s="278"/>
      <c r="D6" s="278" t="s">
        <v>18</v>
      </c>
      <c r="E6" s="278" t="s">
        <v>19</v>
      </c>
      <c r="F6" s="278" t="s">
        <v>20</v>
      </c>
      <c r="G6" s="278" t="s">
        <v>21</v>
      </c>
      <c r="H6" s="278" t="s">
        <v>22</v>
      </c>
      <c r="I6" s="278" t="s">
        <v>23</v>
      </c>
      <c r="J6" s="285" t="s">
        <v>24</v>
      </c>
      <c r="K6" s="278" t="s">
        <v>25</v>
      </c>
      <c r="L6" s="278" t="s">
        <v>26</v>
      </c>
      <c r="M6" s="278" t="s">
        <v>27</v>
      </c>
      <c r="N6" s="278" t="s">
        <v>28</v>
      </c>
      <c r="O6" s="278" t="s">
        <v>29</v>
      </c>
      <c r="P6" s="278" t="s">
        <v>30</v>
      </c>
      <c r="Q6" s="278" t="s">
        <v>31</v>
      </c>
      <c r="R6" s="278" t="s">
        <v>32</v>
      </c>
      <c r="S6" s="331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321"/>
      <c r="AJ6" s="321"/>
      <c r="AK6" s="321"/>
      <c r="AL6" s="321"/>
      <c r="AM6" s="321"/>
      <c r="AN6" s="321"/>
      <c r="AO6" s="321"/>
      <c r="AP6" s="321"/>
      <c r="AQ6" s="321"/>
      <c r="AR6" s="321"/>
      <c r="AS6" s="321"/>
    </row>
    <row r="7" spans="1:45" ht="13">
      <c r="A7" s="678"/>
      <c r="B7" s="678"/>
      <c r="C7" s="45"/>
      <c r="D7" s="45"/>
      <c r="E7" s="45"/>
      <c r="F7" s="45"/>
      <c r="G7" s="45"/>
      <c r="H7" s="45"/>
      <c r="I7" s="45"/>
      <c r="J7" s="286"/>
      <c r="K7" s="45"/>
      <c r="L7" s="45"/>
      <c r="M7" s="45"/>
      <c r="N7" s="45"/>
      <c r="O7" s="45"/>
      <c r="P7" s="45"/>
    </row>
    <row r="8" spans="1:45" ht="13">
      <c r="A8" s="678"/>
      <c r="B8" s="678"/>
      <c r="C8" s="45"/>
      <c r="D8" s="45"/>
      <c r="E8" s="45"/>
      <c r="F8" s="45"/>
      <c r="G8" s="45"/>
      <c r="H8" s="45"/>
      <c r="I8" s="45"/>
      <c r="J8" s="286"/>
      <c r="K8" s="45"/>
      <c r="L8" s="45"/>
      <c r="M8" s="45"/>
      <c r="N8" s="45"/>
      <c r="O8" s="45"/>
      <c r="P8" s="45"/>
    </row>
    <row r="9" spans="1:45" s="279" customFormat="1" ht="13">
      <c r="A9" s="282"/>
      <c r="B9" s="278" t="s">
        <v>33</v>
      </c>
      <c r="J9" s="287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  <c r="AJ9" s="321"/>
      <c r="AK9" s="321"/>
      <c r="AL9" s="321"/>
      <c r="AM9" s="321"/>
      <c r="AN9" s="321"/>
      <c r="AO9" s="321"/>
      <c r="AP9" s="321"/>
      <c r="AQ9" s="321"/>
      <c r="AR9" s="321"/>
      <c r="AS9" s="321"/>
    </row>
    <row r="10" spans="1:45" ht="13">
      <c r="A10" s="678"/>
      <c r="B10" s="678"/>
      <c r="C10" s="45"/>
      <c r="D10" s="45"/>
      <c r="E10" s="45"/>
      <c r="F10" s="45"/>
      <c r="G10" s="45"/>
      <c r="H10" s="45"/>
      <c r="I10" s="45"/>
      <c r="J10" s="48"/>
      <c r="K10" s="45"/>
      <c r="L10" s="45"/>
      <c r="M10" s="45"/>
      <c r="N10" s="45"/>
      <c r="O10" s="45"/>
      <c r="P10" s="45"/>
    </row>
    <row r="11" spans="1:45" ht="13">
      <c r="A11" s="44"/>
      <c r="B11" s="45" t="s">
        <v>33</v>
      </c>
      <c r="C11" s="45"/>
      <c r="D11" s="446">
        <f>IS!D4</f>
        <v>4519.5</v>
      </c>
      <c r="E11" s="446">
        <f>IS!E4</f>
        <v>5896</v>
      </c>
      <c r="F11" s="446">
        <f>IS!F4</f>
        <v>7245</v>
      </c>
      <c r="G11" s="446">
        <f>IS!G4</f>
        <v>8971</v>
      </c>
      <c r="H11" s="446">
        <f>IS!H4</f>
        <v>10984</v>
      </c>
      <c r="I11" s="446">
        <f>IS!I4</f>
        <v>13278</v>
      </c>
      <c r="J11" s="447">
        <v>15530</v>
      </c>
      <c r="K11" s="549">
        <f t="shared" ref="K11:R11" si="0">J14+J17</f>
        <v>19295.342400000001</v>
      </c>
      <c r="L11" s="549">
        <f t="shared" si="0"/>
        <v>23635.238363999997</v>
      </c>
      <c r="M11" s="549">
        <f t="shared" si="0"/>
        <v>27561.155868959999</v>
      </c>
      <c r="N11" s="549">
        <f t="shared" si="0"/>
        <v>31577.855470190396</v>
      </c>
      <c r="O11" s="549">
        <f t="shared" si="0"/>
        <v>34633.438829380604</v>
      </c>
      <c r="P11" s="549">
        <f t="shared" si="0"/>
        <v>37773.92862153631</v>
      </c>
      <c r="Q11" s="549">
        <f t="shared" si="0"/>
        <v>40655.40138176889</v>
      </c>
      <c r="R11" s="549">
        <f t="shared" si="0"/>
        <v>43743.444260636286</v>
      </c>
      <c r="S11" s="332"/>
    </row>
    <row r="12" spans="1:45" ht="13">
      <c r="A12" s="44"/>
      <c r="B12" s="61" t="s">
        <v>34</v>
      </c>
      <c r="C12" s="49"/>
      <c r="D12" s="448"/>
      <c r="E12" s="424">
        <f t="shared" ref="E12:I12" si="1">(E11-D11)/D11</f>
        <v>0.30456908950105099</v>
      </c>
      <c r="F12" s="424">
        <f t="shared" si="1"/>
        <v>0.22879918588873813</v>
      </c>
      <c r="G12" s="424">
        <f t="shared" si="1"/>
        <v>0.23823326432022085</v>
      </c>
      <c r="H12" s="424">
        <f t="shared" si="1"/>
        <v>0.22438970014491139</v>
      </c>
      <c r="I12" s="424">
        <f t="shared" si="1"/>
        <v>0.20884923525127458</v>
      </c>
      <c r="J12" s="449">
        <f>(J11-I11)/I11</f>
        <v>0.16960385600241001</v>
      </c>
      <c r="K12" s="550">
        <f>(K11-J11)/J11</f>
        <v>0.24245604636188031</v>
      </c>
      <c r="L12" s="550">
        <f t="shared" ref="L12:O12" si="2">(L11-K11)/K11</f>
        <v>0.22491935483870945</v>
      </c>
      <c r="M12" s="550">
        <f t="shared" si="2"/>
        <v>0.16610441767068282</v>
      </c>
      <c r="N12" s="550">
        <f t="shared" si="2"/>
        <v>0.1457377049180327</v>
      </c>
      <c r="O12" s="550">
        <f t="shared" si="2"/>
        <v>9.6763485477178446E-2</v>
      </c>
      <c r="P12" s="550">
        <f>(P11-O11)/O11</f>
        <v>9.0677966101695109E-2</v>
      </c>
      <c r="Q12" s="550">
        <f>(Q11-P11)/P11</f>
        <v>7.6282051282051358E-2</v>
      </c>
      <c r="R12" s="550">
        <f t="shared" ref="R12" si="3">(R11-Q11)/Q11</f>
        <v>7.5956521739130284E-2</v>
      </c>
      <c r="S12" s="328"/>
    </row>
    <row r="13" spans="1:45" ht="13">
      <c r="A13" s="44"/>
      <c r="B13" s="65"/>
      <c r="C13" s="45"/>
      <c r="D13" s="415"/>
      <c r="E13" s="450"/>
      <c r="F13" s="450"/>
      <c r="G13" s="450"/>
      <c r="H13" s="450"/>
      <c r="I13" s="450"/>
      <c r="J13" s="451"/>
      <c r="K13" s="452"/>
      <c r="L13" s="452"/>
      <c r="M13" s="452"/>
      <c r="N13" s="452"/>
      <c r="O13" s="452"/>
      <c r="P13" s="452"/>
      <c r="Q13" s="453"/>
      <c r="R13" s="453"/>
    </row>
    <row r="14" spans="1:45" ht="13">
      <c r="A14" s="44"/>
      <c r="B14" s="65" t="s">
        <v>35</v>
      </c>
      <c r="C14" s="45"/>
      <c r="D14" s="454">
        <v>4400</v>
      </c>
      <c r="E14" s="455">
        <v>5800</v>
      </c>
      <c r="F14" s="455">
        <v>7120</v>
      </c>
      <c r="G14" s="455">
        <v>8520</v>
      </c>
      <c r="H14" s="455">
        <v>10490</v>
      </c>
      <c r="I14" s="455">
        <v>12850</v>
      </c>
      <c r="J14" s="456">
        <f>J20*J23</f>
        <v>15560.76</v>
      </c>
      <c r="K14" s="458">
        <f t="shared" ref="K14:R14" si="4">K20*K23</f>
        <v>18984.127199999999</v>
      </c>
      <c r="L14" s="458">
        <f t="shared" si="4"/>
        <v>22591.111367999998</v>
      </c>
      <c r="M14" s="458">
        <f t="shared" si="4"/>
        <v>26205.689186879998</v>
      </c>
      <c r="N14" s="458">
        <f t="shared" si="4"/>
        <v>29350.371889305596</v>
      </c>
      <c r="O14" s="458">
        <f t="shared" si="4"/>
        <v>32285.40907823616</v>
      </c>
      <c r="P14" s="458">
        <f t="shared" si="4"/>
        <v>35352.522940668598</v>
      </c>
      <c r="Q14" s="458">
        <f t="shared" si="4"/>
        <v>38711.01262003211</v>
      </c>
      <c r="R14" s="458">
        <f t="shared" si="4"/>
        <v>41033.673377234038</v>
      </c>
      <c r="S14" s="333"/>
    </row>
    <row r="15" spans="1:45" ht="13">
      <c r="A15" s="44"/>
      <c r="B15" s="284" t="s">
        <v>36</v>
      </c>
      <c r="C15" s="45"/>
      <c r="D15" s="415"/>
      <c r="E15" s="450">
        <f>(E14-D14)/D14</f>
        <v>0.31818181818181818</v>
      </c>
      <c r="F15" s="450">
        <f t="shared" ref="F15:H15" si="5">(F14-E14)/E14</f>
        <v>0.22758620689655173</v>
      </c>
      <c r="G15" s="450">
        <f t="shared" si="5"/>
        <v>0.19662921348314608</v>
      </c>
      <c r="H15" s="450">
        <f t="shared" si="5"/>
        <v>0.23122065727699531</v>
      </c>
      <c r="I15" s="450">
        <f>(I14-H14)/H14</f>
        <v>0.224976167778837</v>
      </c>
      <c r="J15" s="437">
        <f>(J14-I14)/I14</f>
        <v>0.21095408560311285</v>
      </c>
      <c r="K15" s="440">
        <f>(K14-J14)/J14</f>
        <v>0.21999999999999992</v>
      </c>
      <c r="L15" s="440">
        <f>(L14-K14)/K14</f>
        <v>0.18999999999999995</v>
      </c>
      <c r="M15" s="440">
        <f t="shared" ref="M15:O15" si="6">(M14-L14)/L14</f>
        <v>0.16</v>
      </c>
      <c r="N15" s="440">
        <f t="shared" si="6"/>
        <v>0.11999999999999994</v>
      </c>
      <c r="O15" s="440">
        <f t="shared" si="6"/>
        <v>0.10000000000000016</v>
      </c>
      <c r="P15" s="440">
        <f>(P14-O14)/O14</f>
        <v>9.500000000000007E-2</v>
      </c>
      <c r="Q15" s="440">
        <f>(Q14-P14)/P14</f>
        <v>9.4999999999999876E-2</v>
      </c>
      <c r="R15" s="440">
        <f t="shared" ref="R15" si="7">(R14-Q14)/Q14</f>
        <v>6.0000000000000026E-2</v>
      </c>
      <c r="S15" s="328"/>
    </row>
    <row r="16" spans="1:45" ht="13">
      <c r="A16" s="44"/>
      <c r="B16" s="65"/>
      <c r="C16" s="45"/>
      <c r="D16" s="415"/>
      <c r="E16" s="450"/>
      <c r="F16" s="450"/>
      <c r="G16" s="450"/>
      <c r="H16" s="450"/>
      <c r="I16" s="450"/>
      <c r="J16" s="437"/>
      <c r="K16" s="440"/>
      <c r="L16" s="440"/>
      <c r="M16" s="440"/>
      <c r="N16" s="440"/>
      <c r="O16" s="440"/>
      <c r="P16" s="440"/>
      <c r="Q16" s="440"/>
      <c r="R16" s="440"/>
      <c r="S16" s="328"/>
    </row>
    <row r="17" spans="1:19" ht="13">
      <c r="A17" s="44"/>
      <c r="B17" s="284" t="s">
        <v>37</v>
      </c>
      <c r="C17" s="45"/>
      <c r="D17" s="415"/>
      <c r="E17" s="457">
        <f>E11-D14</f>
        <v>1496</v>
      </c>
      <c r="F17" s="457">
        <f>F11-E14</f>
        <v>1445</v>
      </c>
      <c r="G17" s="457">
        <f>G11-F14</f>
        <v>1851</v>
      </c>
      <c r="H17" s="457">
        <f>H11-G14</f>
        <v>2464</v>
      </c>
      <c r="I17" s="457">
        <f>I11-H14</f>
        <v>2788</v>
      </c>
      <c r="J17" s="456">
        <f t="shared" ref="J17:R17" si="8">J14*J18</f>
        <v>3734.5823999999998</v>
      </c>
      <c r="K17" s="458">
        <f t="shared" si="8"/>
        <v>4651.1111639999999</v>
      </c>
      <c r="L17" s="458">
        <f t="shared" si="8"/>
        <v>4970.0445009599998</v>
      </c>
      <c r="M17" s="458">
        <f t="shared" si="8"/>
        <v>5372.1662833103992</v>
      </c>
      <c r="N17" s="458">
        <f t="shared" si="8"/>
        <v>5283.0669400750066</v>
      </c>
      <c r="O17" s="458">
        <f t="shared" si="8"/>
        <v>5488.5195433001472</v>
      </c>
      <c r="P17" s="458">
        <f t="shared" si="8"/>
        <v>5302.8784411002898</v>
      </c>
      <c r="Q17" s="458">
        <f t="shared" si="8"/>
        <v>5032.4316406041744</v>
      </c>
      <c r="R17" s="458">
        <f t="shared" si="8"/>
        <v>4513.7040714957438</v>
      </c>
      <c r="S17" s="323"/>
    </row>
    <row r="18" spans="1:19" ht="13">
      <c r="A18" s="44"/>
      <c r="B18" s="65" t="s">
        <v>38</v>
      </c>
      <c r="C18" s="45"/>
      <c r="D18" s="415"/>
      <c r="E18" s="450">
        <f>E17/E14</f>
        <v>0.25793103448275861</v>
      </c>
      <c r="F18" s="450">
        <f>F17/F14</f>
        <v>0.2029494382022472</v>
      </c>
      <c r="G18" s="450">
        <f>G17/G14</f>
        <v>0.21725352112676055</v>
      </c>
      <c r="H18" s="450">
        <f>H17/H14</f>
        <v>0.23489037178265015</v>
      </c>
      <c r="I18" s="450">
        <f>J18</f>
        <v>0.24</v>
      </c>
      <c r="J18" s="459">
        <v>0.24</v>
      </c>
      <c r="K18" s="463">
        <v>0.245</v>
      </c>
      <c r="L18" s="463">
        <v>0.22</v>
      </c>
      <c r="M18" s="463">
        <v>0.20499999999999999</v>
      </c>
      <c r="N18" s="463">
        <v>0.18</v>
      </c>
      <c r="O18" s="463">
        <v>0.17</v>
      </c>
      <c r="P18" s="463">
        <v>0.15</v>
      </c>
      <c r="Q18" s="463">
        <v>0.13</v>
      </c>
      <c r="R18" s="463">
        <v>0.11</v>
      </c>
      <c r="S18" s="324"/>
    </row>
    <row r="19" spans="1:19" ht="13">
      <c r="A19" s="44"/>
      <c r="B19" s="65"/>
      <c r="C19" s="45"/>
      <c r="D19" s="415"/>
      <c r="E19" s="450"/>
      <c r="F19" s="450"/>
      <c r="G19" s="450"/>
      <c r="H19" s="450"/>
      <c r="I19" s="450"/>
      <c r="J19" s="451"/>
      <c r="K19" s="460"/>
      <c r="L19" s="460"/>
      <c r="M19" s="460"/>
      <c r="N19" s="460"/>
      <c r="O19" s="460"/>
      <c r="P19" s="460"/>
      <c r="Q19" s="453"/>
      <c r="R19" s="453"/>
    </row>
    <row r="20" spans="1:19" ht="13">
      <c r="A20" s="44"/>
      <c r="B20" s="65" t="s">
        <v>39</v>
      </c>
      <c r="C20" s="45"/>
      <c r="D20" s="461">
        <v>8900</v>
      </c>
      <c r="E20" s="455">
        <v>11500</v>
      </c>
      <c r="F20" s="455">
        <v>14400</v>
      </c>
      <c r="G20" s="455">
        <v>18000</v>
      </c>
      <c r="H20" s="455">
        <v>22300</v>
      </c>
      <c r="I20" s="455">
        <v>28200</v>
      </c>
      <c r="J20" s="462">
        <f>I20+I20*J21</f>
        <v>34968</v>
      </c>
      <c r="K20" s="452">
        <f t="shared" ref="K20:O20" si="9">J20+J20*K21</f>
        <v>42660.959999999999</v>
      </c>
      <c r="L20" s="452">
        <f>K20+K20*L21</f>
        <v>50766.542399999998</v>
      </c>
      <c r="M20" s="452">
        <f t="shared" si="9"/>
        <v>58889.189183999995</v>
      </c>
      <c r="N20" s="452">
        <f t="shared" si="9"/>
        <v>65955.891886079989</v>
      </c>
      <c r="O20" s="452">
        <f t="shared" si="9"/>
        <v>72551.481074687996</v>
      </c>
      <c r="P20" s="452">
        <f>O20*(1+P21)</f>
        <v>79443.871776783359</v>
      </c>
      <c r="Q20" s="452">
        <f>P20*(1+Q21)</f>
        <v>86991.039595577779</v>
      </c>
      <c r="R20" s="452">
        <f>Q20*(1+R21)</f>
        <v>92210.501971312449</v>
      </c>
      <c r="S20" s="333"/>
    </row>
    <row r="21" spans="1:19" ht="13">
      <c r="A21" s="44"/>
      <c r="B21" s="284" t="s">
        <v>40</v>
      </c>
      <c r="C21" s="45"/>
      <c r="D21" s="415"/>
      <c r="E21" s="450">
        <f>(E20-D20)/D20</f>
        <v>0.29213483146067415</v>
      </c>
      <c r="F21" s="450">
        <f t="shared" ref="F21:I21" si="10">(F20-E20)/E20</f>
        <v>0.25217391304347825</v>
      </c>
      <c r="G21" s="450">
        <f t="shared" si="10"/>
        <v>0.25</v>
      </c>
      <c r="H21" s="450">
        <f t="shared" si="10"/>
        <v>0.2388888888888889</v>
      </c>
      <c r="I21" s="450">
        <f t="shared" si="10"/>
        <v>0.26457399103139012</v>
      </c>
      <c r="J21" s="459">
        <v>0.24</v>
      </c>
      <c r="K21" s="463">
        <v>0.22</v>
      </c>
      <c r="L21" s="463">
        <v>0.19</v>
      </c>
      <c r="M21" s="463">
        <v>0.16</v>
      </c>
      <c r="N21" s="463">
        <v>0.12</v>
      </c>
      <c r="O21" s="463">
        <v>0.1</v>
      </c>
      <c r="P21" s="463">
        <v>9.5000000000000001E-2</v>
      </c>
      <c r="Q21" s="463">
        <v>9.5000000000000001E-2</v>
      </c>
      <c r="R21" s="463">
        <v>0.06</v>
      </c>
      <c r="S21" s="322"/>
    </row>
    <row r="22" spans="1:19" ht="13">
      <c r="A22" s="44"/>
      <c r="B22" s="65"/>
      <c r="C22" s="45"/>
      <c r="D22" s="415"/>
      <c r="E22" s="450"/>
      <c r="F22" s="450"/>
      <c r="G22" s="450"/>
      <c r="H22" s="450"/>
      <c r="I22" s="450"/>
      <c r="J22" s="451"/>
      <c r="K22" s="460"/>
      <c r="L22" s="460"/>
      <c r="M22" s="460"/>
      <c r="N22" s="460"/>
      <c r="O22" s="460"/>
      <c r="P22" s="460"/>
      <c r="Q22" s="453"/>
      <c r="R22" s="453"/>
    </row>
    <row r="23" spans="1:19" ht="13">
      <c r="A23" s="44"/>
      <c r="B23" s="284" t="s">
        <v>41</v>
      </c>
      <c r="C23" s="45"/>
      <c r="D23" s="464">
        <f t="shared" ref="D23:I23" si="11">D14/D20</f>
        <v>0.4943820224719101</v>
      </c>
      <c r="E23" s="464">
        <f t="shared" si="11"/>
        <v>0.5043478260869565</v>
      </c>
      <c r="F23" s="464">
        <f t="shared" si="11"/>
        <v>0.49444444444444446</v>
      </c>
      <c r="G23" s="464">
        <f t="shared" si="11"/>
        <v>0.47333333333333333</v>
      </c>
      <c r="H23" s="464">
        <f t="shared" si="11"/>
        <v>0.47040358744394617</v>
      </c>
      <c r="I23" s="464">
        <f t="shared" si="11"/>
        <v>0.45567375886524825</v>
      </c>
      <c r="J23" s="459">
        <v>0.44500000000000001</v>
      </c>
      <c r="K23" s="459">
        <v>0.44500000000000001</v>
      </c>
      <c r="L23" s="459">
        <v>0.44500000000000001</v>
      </c>
      <c r="M23" s="459">
        <v>0.44500000000000001</v>
      </c>
      <c r="N23" s="459">
        <v>0.44500000000000001</v>
      </c>
      <c r="O23" s="459">
        <v>0.44500000000000001</v>
      </c>
      <c r="P23" s="459">
        <v>0.44500000000000001</v>
      </c>
      <c r="Q23" s="459">
        <v>0.44500000000000001</v>
      </c>
      <c r="R23" s="459">
        <v>0.44500000000000001</v>
      </c>
      <c r="S23" s="322"/>
    </row>
    <row r="24" spans="1:19" ht="13">
      <c r="A24" s="44"/>
      <c r="B24" s="65"/>
      <c r="C24" s="45"/>
      <c r="D24" s="464"/>
      <c r="E24" s="464"/>
      <c r="F24" s="464"/>
      <c r="G24" s="464"/>
      <c r="H24" s="464"/>
      <c r="I24" s="464"/>
      <c r="J24" s="451"/>
      <c r="K24" s="460"/>
      <c r="L24" s="460"/>
      <c r="M24" s="460"/>
      <c r="N24" s="460"/>
      <c r="O24" s="460"/>
      <c r="P24" s="460"/>
      <c r="Q24" s="551"/>
      <c r="R24" s="460"/>
      <c r="S24" s="324"/>
    </row>
    <row r="25" spans="1:19" ht="13">
      <c r="A25" s="44"/>
      <c r="B25" s="65" t="s">
        <v>42</v>
      </c>
      <c r="C25" s="45"/>
      <c r="D25" s="454">
        <v>2962</v>
      </c>
      <c r="E25" s="465">
        <v>3836</v>
      </c>
      <c r="F25" s="465">
        <v>4660</v>
      </c>
      <c r="G25" s="465">
        <v>5785</v>
      </c>
      <c r="H25" s="465">
        <v>6819</v>
      </c>
      <c r="I25" s="465">
        <v>8314</v>
      </c>
      <c r="J25" s="456">
        <f t="shared" ref="J25:R25" si="12">J26*J14</f>
        <v>10067.872267704281</v>
      </c>
      <c r="K25" s="458">
        <f t="shared" si="12"/>
        <v>12719.365223999999</v>
      </c>
      <c r="L25" s="458">
        <f t="shared" si="12"/>
        <v>15813.777957599998</v>
      </c>
      <c r="M25" s="458">
        <f t="shared" si="12"/>
        <v>18343.982430815999</v>
      </c>
      <c r="N25" s="458">
        <f t="shared" si="12"/>
        <v>21132.267760300027</v>
      </c>
      <c r="O25" s="458">
        <f t="shared" si="12"/>
        <v>23891.202717894757</v>
      </c>
      <c r="P25" s="458">
        <f t="shared" si="12"/>
        <v>26514.392205501448</v>
      </c>
      <c r="Q25" s="458">
        <f t="shared" si="12"/>
        <v>29033.259465024083</v>
      </c>
      <c r="R25" s="458">
        <f t="shared" si="12"/>
        <v>30775.255032925528</v>
      </c>
      <c r="S25" s="323"/>
    </row>
    <row r="26" spans="1:19" ht="13">
      <c r="A26" s="44"/>
      <c r="B26" s="65" t="s">
        <v>43</v>
      </c>
      <c r="C26" s="45"/>
      <c r="D26" s="466">
        <f t="shared" ref="D26:I26" si="13">D25/D14</f>
        <v>0.67318181818181821</v>
      </c>
      <c r="E26" s="466">
        <f t="shared" si="13"/>
        <v>0.66137931034482755</v>
      </c>
      <c r="F26" s="466">
        <f t="shared" si="13"/>
        <v>0.6544943820224719</v>
      </c>
      <c r="G26" s="466">
        <f t="shared" si="13"/>
        <v>0.6789906103286385</v>
      </c>
      <c r="H26" s="466">
        <f t="shared" si="13"/>
        <v>0.65004766444232598</v>
      </c>
      <c r="I26" s="466">
        <f t="shared" si="13"/>
        <v>0.64700389105058365</v>
      </c>
      <c r="J26" s="451">
        <f>I26</f>
        <v>0.64700389105058365</v>
      </c>
      <c r="K26" s="460">
        <v>0.67</v>
      </c>
      <c r="L26" s="460">
        <v>0.7</v>
      </c>
      <c r="M26" s="460">
        <v>0.7</v>
      </c>
      <c r="N26" s="460">
        <v>0.72</v>
      </c>
      <c r="O26" s="460">
        <v>0.74</v>
      </c>
      <c r="P26" s="460">
        <v>0.75</v>
      </c>
      <c r="Q26" s="460">
        <v>0.75</v>
      </c>
      <c r="R26" s="460">
        <v>0.75</v>
      </c>
      <c r="S26" s="324"/>
    </row>
    <row r="27" spans="1:19" ht="13">
      <c r="A27" s="44"/>
      <c r="B27" s="65"/>
      <c r="C27" s="45"/>
      <c r="D27" s="464"/>
      <c r="E27" s="464"/>
      <c r="F27" s="464"/>
      <c r="G27" s="464"/>
      <c r="H27" s="464"/>
      <c r="I27" s="464"/>
      <c r="J27" s="451"/>
      <c r="K27" s="460"/>
      <c r="L27" s="460"/>
      <c r="M27" s="460"/>
      <c r="N27" s="460"/>
      <c r="O27" s="460"/>
      <c r="P27" s="460"/>
      <c r="Q27" s="551"/>
      <c r="R27" s="460"/>
      <c r="S27" s="324"/>
    </row>
    <row r="28" spans="1:19" ht="13">
      <c r="A28" s="44"/>
      <c r="B28" s="111" t="s">
        <v>44</v>
      </c>
      <c r="C28" s="112"/>
      <c r="D28" s="467"/>
      <c r="E28" s="468"/>
      <c r="F28" s="468"/>
      <c r="G28" s="469">
        <v>1897</v>
      </c>
      <c r="H28" s="469">
        <v>2109</v>
      </c>
      <c r="I28" s="469">
        <v>2344</v>
      </c>
      <c r="J28" s="470"/>
      <c r="K28" s="465"/>
      <c r="L28" s="465"/>
      <c r="M28" s="465"/>
      <c r="N28" s="465"/>
      <c r="O28" s="465"/>
      <c r="P28" s="465"/>
      <c r="Q28" s="417"/>
      <c r="R28" s="417"/>
    </row>
    <row r="29" spans="1:19" ht="13">
      <c r="A29" s="44"/>
      <c r="B29" s="111" t="s">
        <v>45</v>
      </c>
      <c r="C29" s="112"/>
      <c r="D29" s="467"/>
      <c r="E29" s="468"/>
      <c r="F29" s="468"/>
      <c r="G29" s="468"/>
      <c r="H29" s="468">
        <f>(H28-G28)/G28</f>
        <v>0.1117554032683184</v>
      </c>
      <c r="I29" s="468">
        <f>(I28-H28)/H28</f>
        <v>0.11142721669037459</v>
      </c>
      <c r="J29" s="471"/>
      <c r="K29" s="472"/>
      <c r="L29" s="472"/>
      <c r="M29" s="472"/>
      <c r="N29" s="472"/>
      <c r="O29" s="472"/>
      <c r="P29" s="472"/>
      <c r="Q29" s="417"/>
      <c r="R29" s="417"/>
    </row>
    <row r="30" spans="1:19" ht="13">
      <c r="A30" s="44"/>
      <c r="B30" s="111"/>
      <c r="C30" s="112"/>
      <c r="D30" s="467"/>
      <c r="E30" s="468"/>
      <c r="F30" s="468"/>
      <c r="G30" s="468"/>
      <c r="H30" s="469"/>
      <c r="I30" s="468"/>
      <c r="J30" s="471"/>
      <c r="K30" s="472"/>
      <c r="L30" s="472"/>
      <c r="M30" s="472"/>
      <c r="N30" s="472"/>
      <c r="O30" s="472"/>
      <c r="P30" s="472"/>
      <c r="Q30" s="417"/>
      <c r="R30" s="417"/>
    </row>
    <row r="31" spans="1:19" ht="13">
      <c r="A31" s="44"/>
      <c r="B31" s="111"/>
      <c r="C31" s="112"/>
      <c r="D31" s="467"/>
      <c r="E31" s="468"/>
      <c r="F31" s="468"/>
      <c r="G31" s="468"/>
      <c r="H31" s="469"/>
      <c r="I31" s="468"/>
      <c r="J31" s="471"/>
      <c r="K31" s="472"/>
      <c r="L31" s="472"/>
      <c r="M31" s="472"/>
      <c r="N31" s="472"/>
      <c r="O31" s="472"/>
      <c r="P31" s="472"/>
      <c r="Q31" s="417"/>
      <c r="R31" s="417"/>
    </row>
    <row r="32" spans="1:19" ht="13">
      <c r="A32" s="44"/>
      <c r="B32" s="111" t="s">
        <v>46</v>
      </c>
      <c r="C32" s="112"/>
      <c r="D32" s="467"/>
      <c r="E32" s="468"/>
      <c r="F32" s="468"/>
      <c r="G32" s="469">
        <v>420</v>
      </c>
      <c r="H32" s="469">
        <v>502</v>
      </c>
      <c r="I32" s="469">
        <v>603</v>
      </c>
      <c r="J32" s="471"/>
      <c r="K32" s="472"/>
      <c r="L32" s="472"/>
      <c r="M32" s="472"/>
      <c r="N32" s="472"/>
      <c r="O32" s="472"/>
      <c r="P32" s="472"/>
      <c r="Q32" s="417"/>
      <c r="R32" s="417"/>
    </row>
    <row r="33" spans="1:45" ht="13">
      <c r="A33" s="44"/>
      <c r="B33" s="111" t="s">
        <v>45</v>
      </c>
      <c r="C33" s="112"/>
      <c r="D33" s="467"/>
      <c r="E33" s="468"/>
      <c r="F33" s="468"/>
      <c r="G33" s="468"/>
      <c r="H33" s="468">
        <f>(H32-G32)/G32</f>
        <v>0.19523809523809524</v>
      </c>
      <c r="I33" s="468">
        <f>(I32-H32)/H32</f>
        <v>0.20119521912350596</v>
      </c>
      <c r="J33" s="471"/>
      <c r="K33" s="472"/>
      <c r="L33" s="472"/>
      <c r="M33" s="472"/>
      <c r="N33" s="472"/>
      <c r="O33" s="472"/>
      <c r="P33" s="472"/>
      <c r="Q33" s="417"/>
      <c r="R33" s="417"/>
    </row>
    <row r="34" spans="1:45" ht="13">
      <c r="A34" s="678"/>
      <c r="B34" s="678"/>
      <c r="C34" s="45"/>
      <c r="D34" s="415"/>
      <c r="E34" s="415"/>
      <c r="F34" s="415"/>
      <c r="G34" s="415"/>
      <c r="H34" s="415"/>
      <c r="I34" s="415"/>
      <c r="J34" s="416"/>
      <c r="K34" s="415"/>
      <c r="L34" s="415"/>
      <c r="M34" s="415"/>
      <c r="N34" s="415"/>
      <c r="O34" s="415"/>
      <c r="P34" s="415"/>
      <c r="Q34" s="417"/>
      <c r="R34" s="417"/>
      <c r="W34" s="327"/>
      <c r="X34" s="327"/>
    </row>
    <row r="35" spans="1:45" s="279" customFormat="1" ht="13">
      <c r="A35" s="282"/>
      <c r="B35" s="278" t="s">
        <v>47</v>
      </c>
      <c r="D35" s="473"/>
      <c r="E35" s="473"/>
      <c r="F35" s="473"/>
      <c r="G35" s="473"/>
      <c r="H35" s="473"/>
      <c r="I35" s="473"/>
      <c r="J35" s="537"/>
      <c r="K35" s="473"/>
      <c r="L35" s="473"/>
      <c r="M35" s="473"/>
      <c r="N35" s="473"/>
      <c r="O35" s="473"/>
      <c r="P35" s="473"/>
      <c r="Q35" s="473"/>
      <c r="R35" s="473"/>
      <c r="S35" s="321"/>
      <c r="T35" s="321"/>
      <c r="U35" s="321"/>
      <c r="V35" s="321"/>
      <c r="W35" s="321"/>
      <c r="X35" s="321"/>
      <c r="Y35" s="321"/>
      <c r="Z35" s="321"/>
      <c r="AA35" s="321"/>
      <c r="AB35" s="321"/>
      <c r="AC35" s="321"/>
      <c r="AD35" s="321"/>
      <c r="AE35" s="321"/>
      <c r="AF35" s="321"/>
      <c r="AG35" s="321"/>
      <c r="AH35" s="321"/>
      <c r="AI35" s="321"/>
      <c r="AJ35" s="321"/>
      <c r="AK35" s="321"/>
      <c r="AL35" s="321"/>
      <c r="AM35" s="321"/>
      <c r="AN35" s="321"/>
      <c r="AO35" s="321"/>
      <c r="AP35" s="321"/>
      <c r="AQ35" s="321"/>
      <c r="AR35" s="321"/>
      <c r="AS35" s="321"/>
    </row>
    <row r="36" spans="1:45">
      <c r="A36" s="45"/>
      <c r="B36" s="45" t="s">
        <v>48</v>
      </c>
      <c r="C36" s="45"/>
      <c r="D36" s="415"/>
      <c r="E36" s="415"/>
      <c r="F36" s="415"/>
      <c r="G36" s="415"/>
      <c r="H36" s="415"/>
      <c r="I36" s="415"/>
      <c r="J36" s="416"/>
      <c r="K36" s="415"/>
      <c r="L36" s="415"/>
      <c r="M36" s="415"/>
      <c r="N36" s="415"/>
      <c r="O36" s="415"/>
      <c r="P36" s="415"/>
      <c r="Q36" s="417"/>
      <c r="R36" s="417"/>
    </row>
    <row r="37" spans="1:45">
      <c r="A37" s="45"/>
      <c r="B37" s="45" t="s">
        <v>49</v>
      </c>
      <c r="C37" s="45"/>
      <c r="D37" s="418">
        <f>IS!D5</f>
        <v>987.1</v>
      </c>
      <c r="E37" s="418">
        <f>IS!E5</f>
        <v>1353</v>
      </c>
      <c r="F37" s="418">
        <f>IS!F5</f>
        <v>1573</v>
      </c>
      <c r="G37" s="418">
        <f>IS!G5</f>
        <v>1921</v>
      </c>
      <c r="H37" s="418">
        <f>IS!H5</f>
        <v>2287</v>
      </c>
      <c r="I37" s="418">
        <f>IS!I5</f>
        <v>2983</v>
      </c>
      <c r="J37" s="419">
        <f t="shared" ref="J37:R37" si="14">J11*J38</f>
        <v>3571.9</v>
      </c>
      <c r="K37" s="420">
        <f t="shared" si="14"/>
        <v>4534.4054640000004</v>
      </c>
      <c r="L37" s="420">
        <f t="shared" si="14"/>
        <v>5433.4051115505918</v>
      </c>
      <c r="M37" s="420">
        <f t="shared" si="14"/>
        <v>6383.9517275466715</v>
      </c>
      <c r="N37" s="420">
        <f t="shared" si="14"/>
        <v>7331.4766814545146</v>
      </c>
      <c r="O37" s="420">
        <f t="shared" si="14"/>
        <v>8008.2418501607999</v>
      </c>
      <c r="P37" s="420">
        <f t="shared" si="14"/>
        <v>8751.3209467092365</v>
      </c>
      <c r="Q37" s="420">
        <f t="shared" si="14"/>
        <v>9419.5350869853428</v>
      </c>
      <c r="R37" s="420">
        <f t="shared" si="14"/>
        <v>10128.020563500293</v>
      </c>
      <c r="S37" s="334"/>
      <c r="AE37" s="150" t="s">
        <v>50</v>
      </c>
    </row>
    <row r="38" spans="1:45">
      <c r="A38" s="45"/>
      <c r="B38" s="45" t="s">
        <v>51</v>
      </c>
      <c r="C38" s="45"/>
      <c r="D38" s="421">
        <f t="shared" ref="D38:I38" si="15">D37/D11</f>
        <v>0.2184091160526607</v>
      </c>
      <c r="E38" s="421">
        <f t="shared" si="15"/>
        <v>0.2294776119402985</v>
      </c>
      <c r="F38" s="421">
        <f t="shared" si="15"/>
        <v>0.2171152518978606</v>
      </c>
      <c r="G38" s="421">
        <f t="shared" si="15"/>
        <v>0.21413443317355924</v>
      </c>
      <c r="H38" s="421">
        <f t="shared" si="15"/>
        <v>0.20821194464675893</v>
      </c>
      <c r="I38" s="421">
        <f t="shared" si="15"/>
        <v>0.22465732791082996</v>
      </c>
      <c r="J38" s="422">
        <v>0.23</v>
      </c>
      <c r="K38" s="423">
        <v>0.23499999999999999</v>
      </c>
      <c r="L38" s="423">
        <f>AVERAGE(I38:K38)</f>
        <v>0.22988577597027668</v>
      </c>
      <c r="M38" s="423">
        <f>AVERAGE(J38:L38)</f>
        <v>0.23162859199009223</v>
      </c>
      <c r="N38" s="423">
        <f t="shared" ref="N38:P38" si="16">AVERAGE(K38:M38)</f>
        <v>0.23217145598678965</v>
      </c>
      <c r="O38" s="423">
        <f t="shared" si="16"/>
        <v>0.2312286079823862</v>
      </c>
      <c r="P38" s="423">
        <f t="shared" si="16"/>
        <v>0.23167621865308938</v>
      </c>
      <c r="Q38" s="423">
        <f t="shared" ref="Q38" si="17">AVERAGE(N38:P38)</f>
        <v>0.23169209420742176</v>
      </c>
      <c r="R38" s="423">
        <f t="shared" ref="R38" si="18">AVERAGE(O38:Q38)</f>
        <v>0.23153230694763247</v>
      </c>
      <c r="S38" s="325"/>
      <c r="AE38" s="150" t="s">
        <v>52</v>
      </c>
    </row>
    <row r="39" spans="1:45" ht="13">
      <c r="A39" s="45"/>
      <c r="B39" s="61" t="s">
        <v>53</v>
      </c>
      <c r="C39" s="49"/>
      <c r="D39" s="424">
        <f t="shared" ref="D39:R39" si="19">1- (D37/D11)</f>
        <v>0.78159088394733933</v>
      </c>
      <c r="E39" s="424">
        <f t="shared" si="19"/>
        <v>0.77052238805970152</v>
      </c>
      <c r="F39" s="424">
        <f t="shared" si="19"/>
        <v>0.78288474810213937</v>
      </c>
      <c r="G39" s="424">
        <f t="shared" si="19"/>
        <v>0.78586556682644071</v>
      </c>
      <c r="H39" s="424">
        <f t="shared" si="19"/>
        <v>0.79178805535324104</v>
      </c>
      <c r="I39" s="424">
        <f t="shared" si="19"/>
        <v>0.77534267208917007</v>
      </c>
      <c r="J39" s="425">
        <f t="shared" si="19"/>
        <v>0.77</v>
      </c>
      <c r="K39" s="426">
        <f t="shared" si="19"/>
        <v>0.76500000000000001</v>
      </c>
      <c r="L39" s="426">
        <f t="shared" si="19"/>
        <v>0.77011422402972329</v>
      </c>
      <c r="M39" s="426">
        <f t="shared" si="19"/>
        <v>0.76837140800990777</v>
      </c>
      <c r="N39" s="426">
        <f t="shared" si="19"/>
        <v>0.76782854401321032</v>
      </c>
      <c r="O39" s="426">
        <f t="shared" si="19"/>
        <v>0.7687713920176138</v>
      </c>
      <c r="P39" s="426">
        <f t="shared" si="19"/>
        <v>0.76832378134691059</v>
      </c>
      <c r="Q39" s="426">
        <f t="shared" si="19"/>
        <v>0.76830790579257824</v>
      </c>
      <c r="R39" s="426">
        <f t="shared" si="19"/>
        <v>0.76846769305236751</v>
      </c>
      <c r="S39" s="328"/>
      <c r="AE39" s="150" t="s">
        <v>54</v>
      </c>
    </row>
    <row r="40" spans="1:45" ht="13">
      <c r="A40" s="677"/>
      <c r="B40" s="677"/>
      <c r="C40" s="45"/>
      <c r="D40" s="427"/>
      <c r="E40" s="427"/>
      <c r="F40" s="427"/>
      <c r="G40" s="427"/>
      <c r="H40" s="428"/>
      <c r="I40" s="427"/>
      <c r="J40" s="429"/>
      <c r="K40" s="427"/>
      <c r="L40" s="427"/>
      <c r="M40" s="427"/>
      <c r="N40" s="427"/>
      <c r="O40" s="427"/>
      <c r="P40" s="427"/>
      <c r="Q40" s="417"/>
      <c r="R40" s="417"/>
    </row>
    <row r="41" spans="1:45" ht="13">
      <c r="A41" s="45"/>
      <c r="B41" s="44" t="s">
        <v>55</v>
      </c>
      <c r="C41" s="45"/>
      <c r="D41" s="430"/>
      <c r="E41" s="430"/>
      <c r="F41" s="430"/>
      <c r="G41" s="430"/>
      <c r="H41" s="430"/>
      <c r="I41" s="430"/>
      <c r="J41" s="431"/>
      <c r="K41" s="430"/>
      <c r="L41" s="430"/>
      <c r="M41" s="430"/>
      <c r="N41" s="430"/>
      <c r="O41" s="430"/>
      <c r="P41" s="430"/>
      <c r="Q41" s="417"/>
      <c r="R41" s="417"/>
    </row>
    <row r="42" spans="1:45">
      <c r="A42" s="45"/>
      <c r="B42" s="62" t="s">
        <v>56</v>
      </c>
      <c r="C42" s="45"/>
      <c r="D42" s="432">
        <f>IS!D7</f>
        <v>1855</v>
      </c>
      <c r="E42" s="432">
        <f>IS!E7</f>
        <v>2292</v>
      </c>
      <c r="F42" s="432">
        <f>IS!F7</f>
        <v>2814</v>
      </c>
      <c r="G42" s="432">
        <f>IS!G7</f>
        <v>3301</v>
      </c>
      <c r="H42" s="432">
        <f>IS!H7</f>
        <v>3854</v>
      </c>
      <c r="I42" s="432">
        <f>IS!I7</f>
        <v>4388</v>
      </c>
      <c r="J42" s="419">
        <f t="shared" ref="J42:R42" si="20">J11*J43</f>
        <v>4969.6000000000004</v>
      </c>
      <c r="K42" s="420">
        <f t="shared" si="20"/>
        <v>5981.5561440000001</v>
      </c>
      <c r="L42" s="420">
        <f t="shared" si="20"/>
        <v>7326.9238928399991</v>
      </c>
      <c r="M42" s="420">
        <f t="shared" si="20"/>
        <v>8543.9583193775998</v>
      </c>
      <c r="N42" s="420">
        <f t="shared" si="20"/>
        <v>8526.0209769514076</v>
      </c>
      <c r="O42" s="420">
        <f t="shared" si="20"/>
        <v>8658.359707345151</v>
      </c>
      <c r="P42" s="420">
        <f t="shared" si="20"/>
        <v>9065.7428691687146</v>
      </c>
      <c r="Q42" s="420">
        <f t="shared" si="20"/>
        <v>9757.2963316245332</v>
      </c>
      <c r="R42" s="420">
        <f t="shared" si="20"/>
        <v>9623.5577373399829</v>
      </c>
      <c r="S42" s="334"/>
      <c r="AE42" s="150" t="s">
        <v>57</v>
      </c>
    </row>
    <row r="43" spans="1:45" ht="13">
      <c r="A43" s="45"/>
      <c r="B43" s="63" t="s">
        <v>51</v>
      </c>
      <c r="C43" s="45"/>
      <c r="D43" s="433">
        <f t="shared" ref="D43:I43" si="21">D42/D11</f>
        <v>0.41044363314525945</v>
      </c>
      <c r="E43" s="433">
        <f t="shared" si="21"/>
        <v>0.3887381275440977</v>
      </c>
      <c r="F43" s="433">
        <f t="shared" si="21"/>
        <v>0.38840579710144929</v>
      </c>
      <c r="G43" s="433">
        <f t="shared" si="21"/>
        <v>0.36796343774384127</v>
      </c>
      <c r="H43" s="433">
        <f t="shared" si="21"/>
        <v>0.35087399854333579</v>
      </c>
      <c r="I43" s="433">
        <f t="shared" si="21"/>
        <v>0.33047145654466031</v>
      </c>
      <c r="J43" s="434">
        <v>0.32</v>
      </c>
      <c r="K43" s="435">
        <v>0.31</v>
      </c>
      <c r="L43" s="435">
        <v>0.31</v>
      </c>
      <c r="M43" s="435">
        <v>0.31</v>
      </c>
      <c r="N43" s="435">
        <v>0.27</v>
      </c>
      <c r="O43" s="435">
        <v>0.25</v>
      </c>
      <c r="P43" s="435">
        <v>0.24</v>
      </c>
      <c r="Q43" s="435">
        <v>0.24</v>
      </c>
      <c r="R43" s="435">
        <v>0.22</v>
      </c>
      <c r="S43" s="326"/>
      <c r="AE43" s="150" t="s">
        <v>58</v>
      </c>
    </row>
    <row r="44" spans="1:45">
      <c r="A44" s="45"/>
      <c r="B44" s="62" t="s">
        <v>59</v>
      </c>
      <c r="C44" s="45"/>
      <c r="D44" s="436">
        <f>IS!D8</f>
        <v>454</v>
      </c>
      <c r="E44" s="436">
        <f>IS!E8</f>
        <v>597</v>
      </c>
      <c r="F44" s="436">
        <f>IS!F8</f>
        <v>735</v>
      </c>
      <c r="G44" s="436">
        <f>IS!G8</f>
        <v>863</v>
      </c>
      <c r="H44" s="436">
        <f>IS!H8</f>
        <v>936</v>
      </c>
      <c r="I44" s="436">
        <f>IS!I8</f>
        <v>1123</v>
      </c>
      <c r="J44" s="419">
        <f t="shared" ref="J44:R44" si="22">J11*J45</f>
        <v>1242.4000000000001</v>
      </c>
      <c r="K44" s="420">
        <f t="shared" si="22"/>
        <v>1447.15068</v>
      </c>
      <c r="L44" s="420">
        <f t="shared" si="22"/>
        <v>1418.1143018399998</v>
      </c>
      <c r="M44" s="420">
        <f t="shared" si="22"/>
        <v>1378.057793448</v>
      </c>
      <c r="N44" s="420">
        <f t="shared" si="22"/>
        <v>1263.1142188076158</v>
      </c>
      <c r="O44" s="420">
        <f t="shared" si="22"/>
        <v>1039.0031648814181</v>
      </c>
      <c r="P44" s="420">
        <f t="shared" si="22"/>
        <v>755.47857243072622</v>
      </c>
      <c r="Q44" s="420">
        <f t="shared" si="22"/>
        <v>813.10802763537777</v>
      </c>
      <c r="R44" s="420">
        <f t="shared" si="22"/>
        <v>874.86888521272579</v>
      </c>
      <c r="S44" s="334"/>
      <c r="AE44" s="150" t="s">
        <v>60</v>
      </c>
    </row>
    <row r="45" spans="1:45" ht="13">
      <c r="A45" s="45"/>
      <c r="B45" s="63" t="s">
        <v>51</v>
      </c>
      <c r="C45" s="45"/>
      <c r="D45" s="433">
        <f t="shared" ref="D45:I45" si="23">D44/D11</f>
        <v>0.10045358999889369</v>
      </c>
      <c r="E45" s="433">
        <f t="shared" si="23"/>
        <v>0.1012550881953867</v>
      </c>
      <c r="F45" s="433">
        <f t="shared" si="23"/>
        <v>0.10144927536231885</v>
      </c>
      <c r="G45" s="433">
        <f t="shared" si="23"/>
        <v>9.6198863003009699E-2</v>
      </c>
      <c r="H45" s="433">
        <f t="shared" si="23"/>
        <v>8.5214857975236702E-2</v>
      </c>
      <c r="I45" s="433">
        <f t="shared" si="23"/>
        <v>8.4575990359993969E-2</v>
      </c>
      <c r="J45" s="437">
        <v>0.08</v>
      </c>
      <c r="K45" s="438">
        <v>7.4999999999999997E-2</v>
      </c>
      <c r="L45" s="438">
        <v>0.06</v>
      </c>
      <c r="M45" s="439">
        <v>0.05</v>
      </c>
      <c r="N45" s="439">
        <v>0.04</v>
      </c>
      <c r="O45" s="439">
        <v>0.03</v>
      </c>
      <c r="P45" s="439">
        <v>0.02</v>
      </c>
      <c r="Q45" s="439">
        <v>0.02</v>
      </c>
      <c r="R45" s="439">
        <v>0.02</v>
      </c>
      <c r="S45" s="335"/>
      <c r="AE45" s="150" t="s">
        <v>61</v>
      </c>
    </row>
    <row r="46" spans="1:45">
      <c r="A46" s="45"/>
      <c r="B46" s="62" t="s">
        <v>62</v>
      </c>
      <c r="C46" s="45"/>
      <c r="D46" s="436">
        <f>IS!D9</f>
        <v>1024.3</v>
      </c>
      <c r="E46" s="436">
        <f>IS!E9</f>
        <v>1397</v>
      </c>
      <c r="F46" s="436">
        <f>IS!F9</f>
        <v>1768</v>
      </c>
      <c r="G46" s="436">
        <f>IS!G9</f>
        <v>2124</v>
      </c>
      <c r="H46" s="436">
        <f>IS!H9</f>
        <v>2543</v>
      </c>
      <c r="I46" s="436">
        <f>IS!I9</f>
        <v>2960</v>
      </c>
      <c r="J46" s="419">
        <f t="shared" ref="J46:R46" si="24">J11*J47</f>
        <v>3463.19</v>
      </c>
      <c r="K46" s="420">
        <f t="shared" si="24"/>
        <v>4244.9753280000004</v>
      </c>
      <c r="L46" s="420">
        <f t="shared" si="24"/>
        <v>5081.5762482599994</v>
      </c>
      <c r="M46" s="420">
        <f t="shared" si="24"/>
        <v>5787.8427324815993</v>
      </c>
      <c r="N46" s="420">
        <f t="shared" si="24"/>
        <v>6473.460371389031</v>
      </c>
      <c r="O46" s="420">
        <f t="shared" si="24"/>
        <v>6926.6877658761214</v>
      </c>
      <c r="P46" s="420">
        <f t="shared" si="24"/>
        <v>7554.7857243072622</v>
      </c>
      <c r="Q46" s="420">
        <f t="shared" si="24"/>
        <v>8131.0802763537786</v>
      </c>
      <c r="R46" s="420">
        <f t="shared" si="24"/>
        <v>8311.2544095208941</v>
      </c>
      <c r="S46" s="334"/>
    </row>
    <row r="47" spans="1:45" ht="13">
      <c r="A47" s="45"/>
      <c r="B47" s="63" t="s">
        <v>51</v>
      </c>
      <c r="C47" s="45"/>
      <c r="D47" s="433">
        <f t="shared" ref="D47:I47" si="25">D46/D11</f>
        <v>0.22664011505697532</v>
      </c>
      <c r="E47" s="433">
        <f t="shared" si="25"/>
        <v>0.23694029850746268</v>
      </c>
      <c r="F47" s="433">
        <f t="shared" si="25"/>
        <v>0.24403036576949622</v>
      </c>
      <c r="G47" s="433">
        <f t="shared" si="25"/>
        <v>0.23676290268643407</v>
      </c>
      <c r="H47" s="433">
        <f t="shared" si="25"/>
        <v>0.23151857246904589</v>
      </c>
      <c r="I47" s="433">
        <f t="shared" si="25"/>
        <v>0.22292513932821209</v>
      </c>
      <c r="J47" s="437">
        <v>0.223</v>
      </c>
      <c r="K47" s="440">
        <v>0.22</v>
      </c>
      <c r="L47" s="440">
        <v>0.215</v>
      </c>
      <c r="M47" s="440">
        <v>0.21</v>
      </c>
      <c r="N47" s="440">
        <v>0.20499999999999999</v>
      </c>
      <c r="O47" s="440">
        <v>0.2</v>
      </c>
      <c r="P47" s="440">
        <v>0.2</v>
      </c>
      <c r="Q47" s="440">
        <v>0.2</v>
      </c>
      <c r="R47" s="440">
        <v>0.19</v>
      </c>
      <c r="S47" s="328"/>
      <c r="AE47" s="150" t="s">
        <v>63</v>
      </c>
    </row>
    <row r="48" spans="1:45">
      <c r="A48" s="45"/>
      <c r="B48" s="62" t="s">
        <v>64</v>
      </c>
      <c r="C48" s="45"/>
      <c r="D48" s="441">
        <f>D42+D44+D46</f>
        <v>3333.3</v>
      </c>
      <c r="E48" s="441">
        <f t="shared" ref="E48:H48" si="26">E42+E44+E46</f>
        <v>4286</v>
      </c>
      <c r="F48" s="441">
        <f t="shared" si="26"/>
        <v>5317</v>
      </c>
      <c r="G48" s="441">
        <f t="shared" si="26"/>
        <v>6288</v>
      </c>
      <c r="H48" s="441">
        <f t="shared" si="26"/>
        <v>7333</v>
      </c>
      <c r="I48" s="441">
        <f>I42+I44+I46</f>
        <v>8471</v>
      </c>
      <c r="J48" s="442">
        <f t="shared" ref="J48:R48" si="27">J42+J44+J46</f>
        <v>9675.19</v>
      </c>
      <c r="K48" s="443">
        <f t="shared" si="27"/>
        <v>11673.682152000001</v>
      </c>
      <c r="L48" s="443">
        <f t="shared" si="27"/>
        <v>13826.614442939997</v>
      </c>
      <c r="M48" s="443">
        <f t="shared" si="27"/>
        <v>15709.858845307201</v>
      </c>
      <c r="N48" s="443">
        <f t="shared" si="27"/>
        <v>16262.595567148055</v>
      </c>
      <c r="O48" s="443">
        <f t="shared" si="27"/>
        <v>16624.05063810269</v>
      </c>
      <c r="P48" s="443">
        <f t="shared" si="27"/>
        <v>17376.007165906703</v>
      </c>
      <c r="Q48" s="443">
        <f t="shared" si="27"/>
        <v>18701.484635613691</v>
      </c>
      <c r="R48" s="443">
        <f t="shared" si="27"/>
        <v>18809.681032073604</v>
      </c>
      <c r="S48" s="336"/>
    </row>
    <row r="49" spans="1:45" ht="13">
      <c r="A49" s="45"/>
      <c r="B49" s="63" t="s">
        <v>51</v>
      </c>
      <c r="C49" s="45"/>
      <c r="D49" s="433">
        <f t="shared" ref="D49:R49" si="28">D48/D11</f>
        <v>0.73753733820112843</v>
      </c>
      <c r="E49" s="433">
        <f t="shared" si="28"/>
        <v>0.72693351424694708</v>
      </c>
      <c r="F49" s="433">
        <f t="shared" si="28"/>
        <v>0.73388543823326435</v>
      </c>
      <c r="G49" s="433">
        <f t="shared" si="28"/>
        <v>0.70092520343328502</v>
      </c>
      <c r="H49" s="433">
        <f t="shared" si="28"/>
        <v>0.66760742898761838</v>
      </c>
      <c r="I49" s="433">
        <f t="shared" si="28"/>
        <v>0.63797258623286635</v>
      </c>
      <c r="J49" s="444">
        <f t="shared" si="28"/>
        <v>0.623</v>
      </c>
      <c r="K49" s="445">
        <f t="shared" si="28"/>
        <v>0.60499999999999998</v>
      </c>
      <c r="L49" s="445">
        <f t="shared" si="28"/>
        <v>0.58499999999999996</v>
      </c>
      <c r="M49" s="445">
        <f t="shared" si="28"/>
        <v>0.57000000000000006</v>
      </c>
      <c r="N49" s="445">
        <f t="shared" si="28"/>
        <v>0.51500000000000001</v>
      </c>
      <c r="O49" s="445">
        <f t="shared" si="28"/>
        <v>0.48</v>
      </c>
      <c r="P49" s="445">
        <f t="shared" si="28"/>
        <v>0.46</v>
      </c>
      <c r="Q49" s="445">
        <f t="shared" si="28"/>
        <v>0.46</v>
      </c>
      <c r="R49" s="445">
        <f t="shared" si="28"/>
        <v>0.43</v>
      </c>
      <c r="S49" s="337"/>
    </row>
    <row r="50" spans="1:45" ht="13">
      <c r="A50" s="45"/>
      <c r="B50" s="71"/>
      <c r="C50" s="45"/>
      <c r="D50" s="433"/>
      <c r="E50" s="433"/>
      <c r="F50" s="433"/>
      <c r="G50" s="433"/>
      <c r="H50" s="433"/>
      <c r="I50" s="433"/>
      <c r="J50" s="474"/>
      <c r="K50" s="475"/>
      <c r="L50" s="475"/>
      <c r="M50" s="475"/>
      <c r="N50" s="475"/>
      <c r="O50" s="475"/>
      <c r="P50" s="475"/>
      <c r="Q50" s="417"/>
      <c r="R50" s="417"/>
    </row>
    <row r="51" spans="1:45" s="279" customFormat="1" ht="13">
      <c r="A51" s="282"/>
      <c r="B51" s="278" t="s">
        <v>65</v>
      </c>
      <c r="D51" s="473"/>
      <c r="E51" s="473"/>
      <c r="F51" s="473"/>
      <c r="G51" s="473"/>
      <c r="H51" s="473"/>
      <c r="I51" s="552"/>
      <c r="J51" s="473"/>
      <c r="K51" s="473"/>
      <c r="L51" s="473"/>
      <c r="M51" s="473"/>
      <c r="N51" s="473"/>
      <c r="O51" s="473"/>
      <c r="P51" s="473"/>
      <c r="Q51" s="473"/>
      <c r="R51" s="473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  <c r="AN51" s="321"/>
      <c r="AO51" s="321"/>
      <c r="AP51" s="321"/>
      <c r="AQ51" s="321"/>
      <c r="AR51" s="321"/>
      <c r="AS51" s="321"/>
    </row>
    <row r="52" spans="1:45" ht="13">
      <c r="A52" s="45"/>
      <c r="B52" s="71" t="s">
        <v>66</v>
      </c>
      <c r="C52" s="45"/>
      <c r="D52" s="433"/>
      <c r="E52" s="476">
        <f>ABS(IS!E18)</f>
        <v>20</v>
      </c>
      <c r="F52" s="476">
        <f>ABS(IS!F18)</f>
        <v>82</v>
      </c>
      <c r="G52" s="476">
        <f>ABS(IS!G18)</f>
        <v>302</v>
      </c>
      <c r="H52" s="476">
        <f>ABS(IS!H18)</f>
        <v>419</v>
      </c>
      <c r="I52" s="476">
        <f>ABS(IS!I18)</f>
        <v>451</v>
      </c>
      <c r="J52" s="477">
        <f t="shared" ref="J52:R52" si="29">J11*J53</f>
        <v>310.60000000000002</v>
      </c>
      <c r="K52" s="478">
        <f t="shared" si="29"/>
        <v>385.90684800000002</v>
      </c>
      <c r="L52" s="478">
        <f t="shared" si="29"/>
        <v>472.70476727999994</v>
      </c>
      <c r="M52" s="478">
        <f t="shared" si="29"/>
        <v>551.22311737919995</v>
      </c>
      <c r="N52" s="478">
        <f t="shared" si="29"/>
        <v>631.55710940380789</v>
      </c>
      <c r="O52" s="478">
        <f t="shared" si="29"/>
        <v>692.66877658761211</v>
      </c>
      <c r="P52" s="478">
        <f t="shared" si="29"/>
        <v>755.47857243072622</v>
      </c>
      <c r="Q52" s="478">
        <f t="shared" si="29"/>
        <v>813.10802763537777</v>
      </c>
      <c r="R52" s="478">
        <f t="shared" si="29"/>
        <v>874.86888521272579</v>
      </c>
      <c r="S52" s="329"/>
    </row>
    <row r="53" spans="1:45" ht="13">
      <c r="A53" s="45"/>
      <c r="B53" s="63" t="s">
        <v>51</v>
      </c>
      <c r="C53" s="45"/>
      <c r="D53" s="433"/>
      <c r="E53" s="433">
        <f>E52/E11</f>
        <v>3.3921302578018998E-3</v>
      </c>
      <c r="F53" s="433">
        <f>F52/F11</f>
        <v>1.1318150448585231E-2</v>
      </c>
      <c r="G53" s="433">
        <f>G52/G11</f>
        <v>3.3664028536395052E-2</v>
      </c>
      <c r="H53" s="433">
        <f>H52/H11</f>
        <v>3.8146394756008742E-2</v>
      </c>
      <c r="I53" s="433">
        <f>I52/I11</f>
        <v>3.3965958728724203E-2</v>
      </c>
      <c r="J53" s="434">
        <v>0.02</v>
      </c>
      <c r="K53" s="435">
        <v>0.02</v>
      </c>
      <c r="L53" s="435">
        <v>0.02</v>
      </c>
      <c r="M53" s="435">
        <v>0.02</v>
      </c>
      <c r="N53" s="435">
        <v>0.02</v>
      </c>
      <c r="O53" s="435">
        <v>0.02</v>
      </c>
      <c r="P53" s="435">
        <v>0.02</v>
      </c>
      <c r="Q53" s="435">
        <v>0.02</v>
      </c>
      <c r="R53" s="435">
        <v>0.02</v>
      </c>
      <c r="S53" s="326"/>
    </row>
    <row r="54" spans="1:45" ht="13">
      <c r="A54" s="45"/>
      <c r="B54" s="71"/>
      <c r="C54" s="45"/>
      <c r="D54" s="433"/>
      <c r="E54" s="433"/>
      <c r="F54" s="433"/>
      <c r="G54" s="433"/>
      <c r="H54" s="433"/>
      <c r="I54" s="433"/>
      <c r="J54" s="474"/>
      <c r="K54" s="475"/>
      <c r="L54" s="475"/>
      <c r="M54" s="475"/>
      <c r="N54" s="475"/>
      <c r="O54" s="475"/>
      <c r="P54" s="475"/>
      <c r="Q54" s="417"/>
      <c r="R54" s="417"/>
    </row>
    <row r="55" spans="1:45">
      <c r="A55" s="677"/>
      <c r="B55" s="677"/>
      <c r="C55" s="45"/>
      <c r="D55" s="415"/>
      <c r="E55" s="415"/>
      <c r="F55" s="415"/>
      <c r="G55" s="415"/>
      <c r="H55" s="415"/>
      <c r="I55" s="415"/>
      <c r="J55" s="416"/>
      <c r="K55" s="415"/>
      <c r="L55" s="415"/>
      <c r="M55" s="415"/>
      <c r="N55" s="415"/>
      <c r="O55" s="415"/>
      <c r="P55" s="415"/>
      <c r="Q55" s="417"/>
      <c r="R55" s="417"/>
    </row>
    <row r="56" spans="1:45" s="279" customFormat="1" ht="13">
      <c r="A56" s="282"/>
      <c r="B56" s="278" t="s">
        <v>67</v>
      </c>
      <c r="D56" s="473"/>
      <c r="E56" s="473"/>
      <c r="F56" s="473"/>
      <c r="G56" s="473"/>
      <c r="H56" s="473"/>
      <c r="I56" s="473"/>
      <c r="J56" s="537"/>
      <c r="K56" s="473"/>
      <c r="L56" s="473"/>
      <c r="M56" s="473"/>
      <c r="N56" s="473"/>
      <c r="O56" s="473"/>
      <c r="P56" s="473"/>
      <c r="Q56" s="473"/>
      <c r="R56" s="473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  <c r="AN56" s="321"/>
      <c r="AO56" s="321"/>
      <c r="AP56" s="321"/>
      <c r="AQ56" s="321"/>
      <c r="AR56" s="321"/>
      <c r="AS56" s="321"/>
    </row>
    <row r="57" spans="1:45">
      <c r="A57" s="677"/>
      <c r="B57" s="677"/>
      <c r="C57" s="45"/>
      <c r="D57" s="415"/>
      <c r="E57" s="415"/>
      <c r="F57" s="415"/>
      <c r="G57" s="415"/>
      <c r="H57" s="415"/>
      <c r="I57" s="415"/>
      <c r="J57" s="416"/>
      <c r="K57" s="415"/>
      <c r="L57" s="415"/>
      <c r="M57" s="415"/>
      <c r="N57" s="415"/>
      <c r="O57" s="415"/>
      <c r="P57" s="415"/>
      <c r="Q57" s="417"/>
      <c r="R57" s="417"/>
    </row>
    <row r="58" spans="1:45">
      <c r="A58" s="45"/>
      <c r="B58" s="45" t="s">
        <v>68</v>
      </c>
      <c r="C58" s="45"/>
      <c r="D58" s="415"/>
      <c r="E58" s="415"/>
      <c r="F58" s="415"/>
      <c r="G58" s="415"/>
      <c r="H58" s="415"/>
      <c r="I58" s="479"/>
      <c r="J58" s="419">
        <f>I62</f>
        <v>3726</v>
      </c>
      <c r="K58" s="420">
        <f t="shared" ref="K58:R58" si="30">J62</f>
        <v>5447.0450486253194</v>
      </c>
      <c r="L58" s="420">
        <f t="shared" si="30"/>
        <v>7409.388571430145</v>
      </c>
      <c r="M58" s="420">
        <f t="shared" si="30"/>
        <v>10199.962666060987</v>
      </c>
      <c r="N58" s="420">
        <f t="shared" si="30"/>
        <v>13607.562546612873</v>
      </c>
      <c r="O58" s="420">
        <f t="shared" si="30"/>
        <v>19223.100374606613</v>
      </c>
      <c r="P58" s="420">
        <f t="shared" si="30"/>
        <v>27705.275943389475</v>
      </c>
      <c r="Q58" s="420">
        <f t="shared" si="30"/>
        <v>36814.716512572777</v>
      </c>
      <c r="R58" s="420">
        <f t="shared" si="30"/>
        <v>47072.425266345876</v>
      </c>
      <c r="S58" s="338"/>
    </row>
    <row r="59" spans="1:45">
      <c r="A59" s="45"/>
      <c r="B59" s="45" t="s">
        <v>69</v>
      </c>
      <c r="C59" s="45"/>
      <c r="D59" s="415"/>
      <c r="E59" s="415"/>
      <c r="F59" s="415"/>
      <c r="G59" s="415"/>
      <c r="H59" s="415"/>
      <c r="I59" s="480"/>
      <c r="J59" s="481">
        <f>CFS!I11</f>
        <v>6058.0442884522272</v>
      </c>
      <c r="K59" s="553">
        <f>CFS!J11</f>
        <v>7363.2256988048257</v>
      </c>
      <c r="L59" s="553">
        <f>CFS!K11</f>
        <v>9233.0313019908426</v>
      </c>
      <c r="M59" s="553">
        <f>CFS!L11</f>
        <v>10103.248392378284</v>
      </c>
      <c r="N59" s="553">
        <f>CFS!M11</f>
        <v>11832.717896601584</v>
      </c>
      <c r="O59" s="553">
        <f>CFS!N11</f>
        <v>14793.525781483762</v>
      </c>
      <c r="P59" s="553">
        <f>CFS!O11</f>
        <v>14827.825218604559</v>
      </c>
      <c r="Q59" s="553">
        <f>CFS!P11</f>
        <v>15296.525898858832</v>
      </c>
      <c r="R59" s="553">
        <f>CFS!Q11</f>
        <v>17614.39377232995</v>
      </c>
      <c r="S59" s="339"/>
    </row>
    <row r="60" spans="1:45">
      <c r="A60" s="45"/>
      <c r="B60" s="45" t="s">
        <v>70</v>
      </c>
      <c r="C60" s="45"/>
      <c r="D60" s="415"/>
      <c r="E60" s="415"/>
      <c r="F60" s="415"/>
      <c r="G60" s="415"/>
      <c r="H60" s="415"/>
      <c r="I60" s="480"/>
      <c r="J60" s="481">
        <f>CFS!I20</f>
        <v>-1566.9992398269078</v>
      </c>
      <c r="K60" s="553">
        <f>CFS!J20</f>
        <v>-2026.0109520000001</v>
      </c>
      <c r="L60" s="553">
        <f>CFS!K20</f>
        <v>-2481.7000282199997</v>
      </c>
      <c r="M60" s="553">
        <f>CFS!L20</f>
        <v>-2618.3098075512003</v>
      </c>
      <c r="N60" s="553">
        <f>CFS!M20</f>
        <v>-2684.1177149661835</v>
      </c>
      <c r="O60" s="553">
        <f>CFS!N20</f>
        <v>-2943.8423004973515</v>
      </c>
      <c r="P60" s="553">
        <f>CFS!O20</f>
        <v>-2833.0446466152234</v>
      </c>
      <c r="Q60" s="553">
        <f>CFS!P20</f>
        <v>-3049.1551036326669</v>
      </c>
      <c r="R60" s="553">
        <f>CFS!Q20</f>
        <v>-3280.7583195477218</v>
      </c>
      <c r="S60" s="339"/>
    </row>
    <row r="61" spans="1:45">
      <c r="A61" s="45"/>
      <c r="B61" s="49" t="s">
        <v>71</v>
      </c>
      <c r="C61" s="49"/>
      <c r="D61" s="448"/>
      <c r="E61" s="448"/>
      <c r="F61" s="448"/>
      <c r="G61" s="448"/>
      <c r="H61" s="448"/>
      <c r="I61" s="482"/>
      <c r="J61" s="558">
        <f>CFS!I28</f>
        <v>-2770</v>
      </c>
      <c r="K61" s="559">
        <f>CFS!J28</f>
        <v>-3374.8712240000004</v>
      </c>
      <c r="L61" s="559">
        <f>CFS!K28</f>
        <v>-3960.7571791399996</v>
      </c>
      <c r="M61" s="559">
        <f>CFS!L28</f>
        <v>-4077.3387042751997</v>
      </c>
      <c r="N61" s="559">
        <f>CFS!M28</f>
        <v>-3533.0623536416601</v>
      </c>
      <c r="O61" s="559">
        <f>CFS!N28</f>
        <v>-3367.5079122035454</v>
      </c>
      <c r="P61" s="559">
        <f>CFS!O28</f>
        <v>-2885.3400028060337</v>
      </c>
      <c r="Q61" s="559">
        <f>CFS!P28</f>
        <v>-1989.6620414530666</v>
      </c>
      <c r="R61" s="559">
        <f>CFS!Q28</f>
        <v>-1732.3557737339984</v>
      </c>
      <c r="S61" s="339"/>
    </row>
    <row r="62" spans="1:45" ht="13">
      <c r="A62" s="45"/>
      <c r="B62" s="44" t="s">
        <v>72</v>
      </c>
      <c r="C62" s="45"/>
      <c r="D62" s="415"/>
      <c r="E62" s="415"/>
      <c r="F62" s="415"/>
      <c r="G62" s="415"/>
      <c r="H62" s="483"/>
      <c r="I62" s="484">
        <f>BS!H11</f>
        <v>3726</v>
      </c>
      <c r="J62" s="555">
        <f>SUM(J58:J61)</f>
        <v>5447.0450486253194</v>
      </c>
      <c r="K62" s="554">
        <f t="shared" ref="K62:R62" si="31">SUM(K58:K61)</f>
        <v>7409.388571430145</v>
      </c>
      <c r="L62" s="554">
        <f t="shared" si="31"/>
        <v>10199.962666060987</v>
      </c>
      <c r="M62" s="554">
        <f t="shared" si="31"/>
        <v>13607.562546612873</v>
      </c>
      <c r="N62" s="554">
        <f t="shared" si="31"/>
        <v>19223.100374606613</v>
      </c>
      <c r="O62" s="554">
        <f t="shared" si="31"/>
        <v>27705.275943389475</v>
      </c>
      <c r="P62" s="554">
        <f t="shared" si="31"/>
        <v>36814.716512572777</v>
      </c>
      <c r="Q62" s="554">
        <f t="shared" si="31"/>
        <v>47072.425266345876</v>
      </c>
      <c r="R62" s="554">
        <f t="shared" si="31"/>
        <v>59673.7049453941</v>
      </c>
      <c r="S62" s="340"/>
    </row>
    <row r="63" spans="1:45">
      <c r="A63" s="677"/>
      <c r="B63" s="677"/>
      <c r="C63" s="45"/>
      <c r="D63" s="415"/>
      <c r="E63" s="415"/>
      <c r="F63" s="415"/>
      <c r="G63" s="415"/>
      <c r="H63" s="415"/>
      <c r="I63" s="415"/>
      <c r="J63" s="416"/>
      <c r="K63" s="415"/>
      <c r="L63" s="415"/>
      <c r="M63" s="415"/>
      <c r="N63" s="415"/>
      <c r="O63" s="415"/>
      <c r="P63" s="415"/>
      <c r="Q63" s="417"/>
      <c r="R63" s="417"/>
    </row>
    <row r="64" spans="1:45" s="279" customFormat="1" ht="13">
      <c r="A64" s="282"/>
      <c r="B64" s="278" t="s">
        <v>73</v>
      </c>
      <c r="D64" s="473"/>
      <c r="E64" s="473"/>
      <c r="F64" s="473"/>
      <c r="G64" s="473"/>
      <c r="H64" s="473"/>
      <c r="I64" s="473"/>
      <c r="J64" s="537"/>
      <c r="K64" s="473"/>
      <c r="L64" s="473"/>
      <c r="M64" s="473"/>
      <c r="N64" s="473"/>
      <c r="O64" s="473"/>
      <c r="P64" s="473"/>
      <c r="Q64" s="473"/>
      <c r="R64" s="473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  <c r="AN64" s="321"/>
      <c r="AO64" s="321"/>
      <c r="AP64" s="321"/>
      <c r="AQ64" s="321"/>
      <c r="AR64" s="321"/>
      <c r="AS64" s="321"/>
    </row>
    <row r="65" spans="1:19">
      <c r="A65" s="677"/>
      <c r="B65" s="677"/>
      <c r="C65" s="45"/>
      <c r="D65" s="415"/>
      <c r="E65" s="415"/>
      <c r="F65" s="415"/>
      <c r="G65" s="415"/>
      <c r="H65" s="415"/>
      <c r="I65" s="415"/>
      <c r="J65" s="416"/>
      <c r="K65" s="415"/>
      <c r="L65" s="415"/>
      <c r="M65" s="415"/>
      <c r="N65" s="415"/>
      <c r="O65" s="415"/>
      <c r="P65" s="415"/>
      <c r="Q65" s="417"/>
      <c r="R65" s="417"/>
    </row>
    <row r="66" spans="1:19">
      <c r="A66" s="45"/>
      <c r="B66" s="64" t="s">
        <v>74</v>
      </c>
      <c r="C66" s="45"/>
      <c r="D66" s="418">
        <f>BS!C14</f>
        <v>1009</v>
      </c>
      <c r="E66" s="418">
        <f>BS!D14</f>
        <v>1390</v>
      </c>
      <c r="F66" s="418">
        <f>BS!E14</f>
        <v>1725</v>
      </c>
      <c r="G66" s="418">
        <f>BS!F14</f>
        <v>2036</v>
      </c>
      <c r="H66" s="418">
        <f>BS!G14</f>
        <v>2240</v>
      </c>
      <c r="I66" s="418">
        <f>BS!H14</f>
        <v>2627</v>
      </c>
      <c r="J66" s="481">
        <f>IS!J4*J67</f>
        <v>3431.7046004808358</v>
      </c>
      <c r="K66" s="553">
        <f>IS!K4*K67</f>
        <v>4263.7421301952954</v>
      </c>
      <c r="L66" s="553">
        <f>IS!L4*L67</f>
        <v>5222.7402593174456</v>
      </c>
      <c r="M66" s="553">
        <f>IS!M4*M67</f>
        <v>6090.2604887366006</v>
      </c>
      <c r="N66" s="553">
        <f>IS!N4*N67</f>
        <v>6977.8410747180487</v>
      </c>
      <c r="O66" s="553">
        <f>IS!O4*O67</f>
        <v>7653.0412982135886</v>
      </c>
      <c r="P66" s="553">
        <f>IS!P4*P67</f>
        <v>8347.0035176278725</v>
      </c>
      <c r="Q66" s="553">
        <f>IS!Q4*Q67</f>
        <v>8983.7300680110257</v>
      </c>
      <c r="R66" s="553">
        <f>IS!R4*R67</f>
        <v>9666.1029562203821</v>
      </c>
      <c r="S66" s="334"/>
    </row>
    <row r="67" spans="1:19" ht="13">
      <c r="A67" s="45"/>
      <c r="B67" s="65" t="s">
        <v>75</v>
      </c>
      <c r="C67" s="45"/>
      <c r="D67" s="486">
        <f>D66/IS!D4</f>
        <v>0.22325478482132979</v>
      </c>
      <c r="E67" s="486">
        <f>E66/IS!E4</f>
        <v>0.23575305291723203</v>
      </c>
      <c r="F67" s="486">
        <f>F66/IS!F4</f>
        <v>0.23809523809523808</v>
      </c>
      <c r="G67" s="486">
        <f>G66/IS!G4</f>
        <v>0.22695351688774942</v>
      </c>
      <c r="H67" s="486">
        <f>H66/IS!H4</f>
        <v>0.20393299344501092</v>
      </c>
      <c r="I67" s="486">
        <f>I66/IS!I4</f>
        <v>0.19784606115378822</v>
      </c>
      <c r="J67" s="437">
        <f>AVERAGE(D67:I67)</f>
        <v>0.22097260788672476</v>
      </c>
      <c r="K67" s="440">
        <f>J67</f>
        <v>0.22097260788672476</v>
      </c>
      <c r="L67" s="440">
        <f t="shared" ref="L67:P67" si="32">K67</f>
        <v>0.22097260788672476</v>
      </c>
      <c r="M67" s="440">
        <f t="shared" si="32"/>
        <v>0.22097260788672476</v>
      </c>
      <c r="N67" s="440">
        <f t="shared" si="32"/>
        <v>0.22097260788672476</v>
      </c>
      <c r="O67" s="440">
        <f t="shared" si="32"/>
        <v>0.22097260788672476</v>
      </c>
      <c r="P67" s="440">
        <f t="shared" si="32"/>
        <v>0.22097260788672476</v>
      </c>
      <c r="Q67" s="440">
        <f t="shared" ref="Q67" si="33">P67</f>
        <v>0.22097260788672476</v>
      </c>
      <c r="R67" s="440">
        <f t="shared" ref="R67" si="34">Q67</f>
        <v>0.22097260788672476</v>
      </c>
      <c r="S67" s="328"/>
    </row>
    <row r="68" spans="1:19" ht="13">
      <c r="A68" s="677"/>
      <c r="B68" s="677"/>
      <c r="C68" s="45"/>
      <c r="D68" s="487"/>
      <c r="E68" s="487"/>
      <c r="F68" s="487"/>
      <c r="G68" s="487"/>
      <c r="H68" s="487"/>
      <c r="I68" s="487"/>
      <c r="J68" s="488"/>
      <c r="K68" s="556"/>
      <c r="L68" s="556"/>
      <c r="M68" s="556"/>
      <c r="N68" s="556"/>
      <c r="O68" s="556"/>
      <c r="P68" s="556"/>
      <c r="Q68" s="453"/>
      <c r="R68" s="453"/>
    </row>
    <row r="69" spans="1:19">
      <c r="A69" s="45"/>
      <c r="B69" s="64" t="s">
        <v>76</v>
      </c>
      <c r="C69" s="45"/>
      <c r="D69" s="418">
        <f>BS!C13</f>
        <v>1415</v>
      </c>
      <c r="E69" s="418">
        <f>BS!D13</f>
        <v>1576</v>
      </c>
      <c r="F69" s="418">
        <f>BS!E13</f>
        <v>2810</v>
      </c>
      <c r="G69" s="418">
        <f>BS!F13</f>
        <v>2980</v>
      </c>
      <c r="H69" s="418">
        <f>BS!G13</f>
        <v>3458</v>
      </c>
      <c r="I69" s="418">
        <f>BS!H13</f>
        <v>2558</v>
      </c>
      <c r="J69" s="481">
        <f>IS!J4*J70</f>
        <v>2950.7</v>
      </c>
      <c r="K69" s="553">
        <f>IS!K4*K70</f>
        <v>3666.1150560000001</v>
      </c>
      <c r="L69" s="553">
        <f>IS!L4*L70</f>
        <v>4490.6952891599994</v>
      </c>
      <c r="M69" s="553">
        <f>IS!M4*M70</f>
        <v>5236.6196151023996</v>
      </c>
      <c r="N69" s="553">
        <f>IS!N4*N70</f>
        <v>5999.7925393361757</v>
      </c>
      <c r="O69" s="553">
        <f>IS!O4*O70</f>
        <v>6580.3533775823153</v>
      </c>
      <c r="P69" s="553">
        <f>IS!P4*P70</f>
        <v>7177.0464380918993</v>
      </c>
      <c r="Q69" s="553">
        <f>IS!Q4*Q70</f>
        <v>7724.5262625360892</v>
      </c>
      <c r="R69" s="553">
        <f>IS!R4*R70</f>
        <v>8311.2544095208941</v>
      </c>
      <c r="S69" s="334"/>
    </row>
    <row r="70" spans="1:19" ht="13">
      <c r="A70" s="45"/>
      <c r="B70" s="65" t="s">
        <v>77</v>
      </c>
      <c r="C70" s="45"/>
      <c r="D70" s="486">
        <f>D69/IS!D4</f>
        <v>0.31308773094368847</v>
      </c>
      <c r="E70" s="486">
        <f>E69/IS!E4</f>
        <v>0.26729986431478969</v>
      </c>
      <c r="F70" s="486">
        <f>F69/IS!F4</f>
        <v>0.38785369220151827</v>
      </c>
      <c r="G70" s="486">
        <f>G69/IS!G4</f>
        <v>0.33218147363727568</v>
      </c>
      <c r="H70" s="486">
        <f>H69/IS!H4</f>
        <v>0.31482155863073563</v>
      </c>
      <c r="I70" s="486">
        <f>I69/IS!I4</f>
        <v>0.19264949540593462</v>
      </c>
      <c r="J70" s="437">
        <v>0.19</v>
      </c>
      <c r="K70" s="440">
        <v>0.19</v>
      </c>
      <c r="L70" s="440">
        <v>0.19</v>
      </c>
      <c r="M70" s="440">
        <v>0.19</v>
      </c>
      <c r="N70" s="440">
        <v>0.19</v>
      </c>
      <c r="O70" s="440">
        <v>0.19</v>
      </c>
      <c r="P70" s="440">
        <v>0.19</v>
      </c>
      <c r="Q70" s="440">
        <v>0.19</v>
      </c>
      <c r="R70" s="440">
        <v>0.19</v>
      </c>
      <c r="S70" s="328"/>
    </row>
    <row r="71" spans="1:19" ht="13">
      <c r="A71" s="677"/>
      <c r="B71" s="677"/>
      <c r="C71" s="45"/>
      <c r="D71" s="487"/>
      <c r="E71" s="487"/>
      <c r="F71" s="487"/>
      <c r="G71" s="487"/>
      <c r="H71" s="487"/>
      <c r="I71" s="487"/>
      <c r="J71" s="488"/>
      <c r="K71" s="556"/>
      <c r="L71" s="556"/>
      <c r="M71" s="556"/>
      <c r="N71" s="556"/>
      <c r="O71" s="556"/>
      <c r="P71" s="556"/>
      <c r="Q71" s="453"/>
      <c r="R71" s="453"/>
    </row>
    <row r="72" spans="1:19">
      <c r="A72" s="45"/>
      <c r="B72" s="64" t="s">
        <v>78</v>
      </c>
      <c r="C72" s="45"/>
      <c r="D72" s="418">
        <f>BS!C16</f>
        <v>231</v>
      </c>
      <c r="E72" s="418">
        <f>BS!D16</f>
        <v>302</v>
      </c>
      <c r="F72" s="418">
        <f>BS!E16</f>
        <v>369</v>
      </c>
      <c r="G72" s="418">
        <f>BS!F16</f>
        <v>461</v>
      </c>
      <c r="H72" s="418">
        <f>BS!G16</f>
        <v>518</v>
      </c>
      <c r="I72" s="418">
        <f>BS!H16</f>
        <v>590</v>
      </c>
      <c r="J72" s="481">
        <f>IS!J4*J73</f>
        <v>690.06627504142193</v>
      </c>
      <c r="K72" s="553">
        <f>IS!K4*K73</f>
        <v>857.37701581563499</v>
      </c>
      <c r="L72" s="553">
        <f>IS!L4*L73</f>
        <v>1050.2177010664257</v>
      </c>
      <c r="M72" s="553">
        <f>IS!M4*M73</f>
        <v>1224.6635007295074</v>
      </c>
      <c r="N72" s="553">
        <f>IS!N4*N73</f>
        <v>1403.1431486227093</v>
      </c>
      <c r="O72" s="553">
        <f>IS!O4*O73</f>
        <v>1538.9161703068653</v>
      </c>
      <c r="P72" s="553">
        <f>IS!P4*P73</f>
        <v>1678.4619586313017</v>
      </c>
      <c r="Q72" s="553">
        <f>IS!Q4*Q73</f>
        <v>1806.498479834587</v>
      </c>
      <c r="R72" s="553">
        <f>IS!R4*R73</f>
        <v>1943.7138208898486</v>
      </c>
      <c r="S72" s="334"/>
    </row>
    <row r="73" spans="1:19" ht="13">
      <c r="A73" s="45"/>
      <c r="B73" s="65" t="s">
        <v>79</v>
      </c>
      <c r="C73" s="45"/>
      <c r="D73" s="486">
        <f>D72/IS!D4</f>
        <v>5.1111848655824757E-2</v>
      </c>
      <c r="E73" s="486">
        <f>E72/IS!E4</f>
        <v>5.1221166892808687E-2</v>
      </c>
      <c r="F73" s="486">
        <f>F72/IS!F4</f>
        <v>5.0931677018633541E-2</v>
      </c>
      <c r="G73" s="486">
        <f>G72/IS!G4</f>
        <v>5.1387805149927544E-2</v>
      </c>
      <c r="H73" s="486">
        <f>H72/IS!H4</f>
        <v>4.7159504734158773E-2</v>
      </c>
      <c r="I73" s="486">
        <f>I72/IS!I4</f>
        <v>4.4434402771501735E-2</v>
      </c>
      <c r="J73" s="437">
        <f>I73</f>
        <v>4.4434402771501735E-2</v>
      </c>
      <c r="K73" s="440">
        <f t="shared" ref="K73:P73" si="35">J73</f>
        <v>4.4434402771501735E-2</v>
      </c>
      <c r="L73" s="440">
        <f t="shared" si="35"/>
        <v>4.4434402771501735E-2</v>
      </c>
      <c r="M73" s="440">
        <f t="shared" si="35"/>
        <v>4.4434402771501735E-2</v>
      </c>
      <c r="N73" s="440">
        <f t="shared" si="35"/>
        <v>4.4434402771501735E-2</v>
      </c>
      <c r="O73" s="440">
        <f t="shared" si="35"/>
        <v>4.4434402771501735E-2</v>
      </c>
      <c r="P73" s="440">
        <f t="shared" si="35"/>
        <v>4.4434402771501735E-2</v>
      </c>
      <c r="Q73" s="440">
        <f t="shared" ref="Q73" si="36">P73</f>
        <v>4.4434402771501735E-2</v>
      </c>
      <c r="R73" s="440">
        <f t="shared" ref="R73" si="37">Q73</f>
        <v>4.4434402771501735E-2</v>
      </c>
      <c r="S73" s="328"/>
    </row>
    <row r="74" spans="1:19" ht="13">
      <c r="A74" s="677"/>
      <c r="B74" s="677"/>
      <c r="C74" s="45"/>
      <c r="D74" s="487"/>
      <c r="E74" s="487"/>
      <c r="F74" s="487"/>
      <c r="G74" s="487"/>
      <c r="H74" s="487"/>
      <c r="I74" s="487"/>
      <c r="J74" s="488"/>
      <c r="K74" s="556"/>
      <c r="L74" s="556"/>
      <c r="M74" s="556"/>
      <c r="N74" s="556"/>
      <c r="O74" s="556"/>
      <c r="P74" s="556"/>
      <c r="Q74" s="453"/>
      <c r="R74" s="453"/>
    </row>
    <row r="75" spans="1:19">
      <c r="A75" s="45"/>
      <c r="B75" s="64" t="s">
        <v>80</v>
      </c>
      <c r="C75" s="45"/>
      <c r="D75" s="418">
        <f>BS!C15</f>
        <v>191</v>
      </c>
      <c r="E75" s="418">
        <f>BS!D15</f>
        <v>223</v>
      </c>
      <c r="F75" s="418">
        <f>BS!E15</f>
        <v>280</v>
      </c>
      <c r="G75" s="418">
        <f>BS!F15</f>
        <v>403</v>
      </c>
      <c r="H75" s="418">
        <f>BS!G15</f>
        <v>668</v>
      </c>
      <c r="I75" s="418">
        <f>BS!H15</f>
        <v>970</v>
      </c>
      <c r="J75" s="481">
        <f>IS!J7*J76</f>
        <v>1098.567000911577</v>
      </c>
      <c r="K75" s="553">
        <f>IS!K7*K76</f>
        <v>1322.2674247219691</v>
      </c>
      <c r="L75" s="553">
        <f>IS!L7*L76</f>
        <v>1619.6709608146762</v>
      </c>
      <c r="M75" s="553">
        <f>IS!M7*M76</f>
        <v>1888.7054625789133</v>
      </c>
      <c r="N75" s="553">
        <f>IS!N7*N76</f>
        <v>1884.7402797727586</v>
      </c>
      <c r="O75" s="553">
        <f>IS!O7*O76</f>
        <v>1913.9947393174102</v>
      </c>
      <c r="P75" s="553">
        <f>IS!P7*P76</f>
        <v>2004.049813831735</v>
      </c>
      <c r="Q75" s="553">
        <f>IS!Q7*Q76</f>
        <v>2156.9228445022327</v>
      </c>
      <c r="R75" s="553">
        <f>IS!R7*R76</f>
        <v>2127.3589346444355</v>
      </c>
      <c r="S75" s="334"/>
    </row>
    <row r="76" spans="1:19" ht="13">
      <c r="A76" s="45"/>
      <c r="B76" s="65" t="s">
        <v>81</v>
      </c>
      <c r="C76" s="45"/>
      <c r="D76" s="486">
        <f>D75/IS!D7</f>
        <v>0.10296495956873315</v>
      </c>
      <c r="E76" s="486">
        <f>E75/IS!E7</f>
        <v>9.7294938917975568E-2</v>
      </c>
      <c r="F76" s="486">
        <f>F75/IS!F7</f>
        <v>9.950248756218906E-2</v>
      </c>
      <c r="G76" s="486">
        <f>G75/IS!G7</f>
        <v>0.12208421690396849</v>
      </c>
      <c r="H76" s="486">
        <f>H75/IS!H7</f>
        <v>0.17332641411520497</v>
      </c>
      <c r="I76" s="486">
        <f>I75/IS!I7</f>
        <v>0.2210574293527803</v>
      </c>
      <c r="J76" s="437">
        <f>I76</f>
        <v>0.2210574293527803</v>
      </c>
      <c r="K76" s="440">
        <f t="shared" ref="K76:P76" si="38">J76</f>
        <v>0.2210574293527803</v>
      </c>
      <c r="L76" s="440">
        <f t="shared" si="38"/>
        <v>0.2210574293527803</v>
      </c>
      <c r="M76" s="440">
        <f t="shared" si="38"/>
        <v>0.2210574293527803</v>
      </c>
      <c r="N76" s="440">
        <f t="shared" si="38"/>
        <v>0.2210574293527803</v>
      </c>
      <c r="O76" s="440">
        <f t="shared" si="38"/>
        <v>0.2210574293527803</v>
      </c>
      <c r="P76" s="440">
        <f t="shared" si="38"/>
        <v>0.2210574293527803</v>
      </c>
      <c r="Q76" s="440">
        <f t="shared" ref="Q76" si="39">P76</f>
        <v>0.2210574293527803</v>
      </c>
      <c r="R76" s="440">
        <f t="shared" ref="R76" si="40">Q76</f>
        <v>0.2210574293527803</v>
      </c>
      <c r="S76" s="328"/>
    </row>
    <row r="77" spans="1:19" ht="13">
      <c r="A77" s="45"/>
      <c r="B77" s="65"/>
      <c r="C77" s="45"/>
      <c r="D77" s="486"/>
      <c r="E77" s="486"/>
      <c r="F77" s="486"/>
      <c r="G77" s="486"/>
      <c r="H77" s="486"/>
      <c r="I77" s="486"/>
      <c r="J77" s="437"/>
      <c r="K77" s="440"/>
      <c r="L77" s="440"/>
      <c r="M77" s="440"/>
      <c r="N77" s="440"/>
      <c r="O77" s="440"/>
      <c r="P77" s="440"/>
      <c r="Q77" s="453"/>
      <c r="R77" s="453"/>
    </row>
    <row r="78" spans="1:19">
      <c r="A78" s="45"/>
      <c r="B78" s="64" t="s">
        <v>82</v>
      </c>
      <c r="C78" s="45"/>
      <c r="D78" s="418">
        <f>BS!C23</f>
        <v>1672</v>
      </c>
      <c r="E78" s="418">
        <f>BS!D23</f>
        <v>2118</v>
      </c>
      <c r="F78" s="418">
        <f>BS!E23</f>
        <v>2419</v>
      </c>
      <c r="G78" s="418">
        <f>BS!F23</f>
        <v>3594</v>
      </c>
      <c r="H78" s="418">
        <f>BS!G23</f>
        <v>3367</v>
      </c>
      <c r="I78" s="418">
        <f>BS!H23</f>
        <v>3266</v>
      </c>
      <c r="J78" s="499">
        <f>IS!J4*J79</f>
        <v>3820.38</v>
      </c>
      <c r="K78" s="500">
        <f>IS!K4*K79</f>
        <v>4746.6542304000004</v>
      </c>
      <c r="L78" s="500">
        <f>IS!L4*L79</f>
        <v>5814.2686375439989</v>
      </c>
      <c r="M78" s="500">
        <f>IS!M4*M79</f>
        <v>6780.0443437641597</v>
      </c>
      <c r="N78" s="500">
        <f>IS!N4*N79</f>
        <v>7768.1524456668376</v>
      </c>
      <c r="O78" s="500">
        <f>IS!O4*O79</f>
        <v>8519.8259520276279</v>
      </c>
      <c r="P78" s="500">
        <f>IS!P4*P79</f>
        <v>9292.3864408979316</v>
      </c>
      <c r="Q78" s="500">
        <f>IS!Q4*Q79</f>
        <v>10001.228739915146</v>
      </c>
      <c r="R78" s="500">
        <f>IS!R4*R79</f>
        <v>10760.887288116526</v>
      </c>
      <c r="S78" s="341"/>
    </row>
    <row r="79" spans="1:19" ht="13">
      <c r="A79" s="45"/>
      <c r="B79" s="65" t="s">
        <v>51</v>
      </c>
      <c r="C79" s="45"/>
      <c r="D79" s="486">
        <f>D78/IS!D4</f>
        <v>0.3699524283659697</v>
      </c>
      <c r="E79" s="486">
        <f>E78/IS!E4</f>
        <v>0.35922659430122117</v>
      </c>
      <c r="F79" s="486">
        <f>F78/IS!F4</f>
        <v>0.33388543823326433</v>
      </c>
      <c r="G79" s="486">
        <f>G78/IS!G4</f>
        <v>0.4006242336417345</v>
      </c>
      <c r="H79" s="486">
        <f>H78/IS!H4</f>
        <v>0.30653678077203206</v>
      </c>
      <c r="I79" s="486">
        <f>I78/IS!I4</f>
        <v>0.2459707787317367</v>
      </c>
      <c r="J79" s="437">
        <v>0.246</v>
      </c>
      <c r="K79" s="440">
        <v>0.246</v>
      </c>
      <c r="L79" s="440">
        <v>0.246</v>
      </c>
      <c r="M79" s="440">
        <v>0.246</v>
      </c>
      <c r="N79" s="440">
        <v>0.246</v>
      </c>
      <c r="O79" s="440">
        <v>0.246</v>
      </c>
      <c r="P79" s="440">
        <v>0.246</v>
      </c>
      <c r="Q79" s="440">
        <v>0.246</v>
      </c>
      <c r="R79" s="440">
        <v>0.246</v>
      </c>
      <c r="S79" s="328"/>
    </row>
    <row r="80" spans="1:19" ht="13">
      <c r="A80" s="677"/>
      <c r="B80" s="677"/>
      <c r="C80" s="45"/>
      <c r="D80" s="487"/>
      <c r="E80" s="487"/>
      <c r="F80" s="487"/>
      <c r="G80" s="487"/>
      <c r="H80" s="487"/>
      <c r="I80" s="487"/>
      <c r="J80" s="488"/>
      <c r="K80" s="556"/>
      <c r="L80" s="556"/>
      <c r="M80" s="556"/>
      <c r="N80" s="556"/>
      <c r="O80" s="556"/>
      <c r="P80" s="556"/>
      <c r="Q80" s="453"/>
      <c r="R80" s="453"/>
    </row>
    <row r="81" spans="1:45">
      <c r="A81" s="45"/>
      <c r="B81" s="64" t="s">
        <v>83</v>
      </c>
      <c r="C81" s="45"/>
      <c r="D81" s="418">
        <f>BS!C30</f>
        <v>34</v>
      </c>
      <c r="E81" s="418">
        <f>BS!D30</f>
        <v>89</v>
      </c>
      <c r="F81" s="418">
        <f>BS!E30</f>
        <v>274</v>
      </c>
      <c r="G81" s="418">
        <f>BS!F30</f>
        <v>126</v>
      </c>
      <c r="H81" s="418">
        <f>BS!G30</f>
        <v>68</v>
      </c>
      <c r="I81" s="418">
        <f>BS!H30</f>
        <v>204</v>
      </c>
      <c r="J81" s="499">
        <f>IS!J5*J82</f>
        <v>194.92053858052395</v>
      </c>
      <c r="K81" s="500">
        <f>IS!K5*K82</f>
        <v>247.44498871338803</v>
      </c>
      <c r="L81" s="500">
        <f>IS!L5*L82</f>
        <v>296.50389167379075</v>
      </c>
      <c r="M81" s="500">
        <f>IS!M5*M82</f>
        <v>348.37574092372785</v>
      </c>
      <c r="N81" s="500">
        <f>IS!N5*N82</f>
        <v>400.08269641917929</v>
      </c>
      <c r="O81" s="500">
        <f>IS!O5*O82</f>
        <v>437.01414219783157</v>
      </c>
      <c r="P81" s="500">
        <f>IS!P5*P82</f>
        <v>477.56437532506089</v>
      </c>
      <c r="Q81" s="500">
        <f>IS!Q5*Q82</f>
        <v>514.02918680067341</v>
      </c>
      <c r="R81" s="500">
        <f>IS!R5*R82</f>
        <v>552.69162714300478</v>
      </c>
      <c r="S81" s="341"/>
    </row>
    <row r="82" spans="1:45" ht="13">
      <c r="A82" s="45"/>
      <c r="B82" s="65" t="s">
        <v>84</v>
      </c>
      <c r="C82" s="45"/>
      <c r="D82" s="486">
        <f>D81/IS!D5</f>
        <v>3.4444331881268359E-2</v>
      </c>
      <c r="E82" s="486">
        <f>E81/IS!E5</f>
        <v>6.5779748706577976E-2</v>
      </c>
      <c r="F82" s="486">
        <f>F81/IS!F5</f>
        <v>0.17418944691671964</v>
      </c>
      <c r="G82" s="486">
        <f>G81/IS!G5</f>
        <v>6.5590838105153565E-2</v>
      </c>
      <c r="H82" s="486">
        <f>H81/IS!H5</f>
        <v>2.9733275032794052E-2</v>
      </c>
      <c r="I82" s="486">
        <f>I81/IS!I5</f>
        <v>6.838752933288636E-2</v>
      </c>
      <c r="J82" s="437">
        <f>AVERAGE(G82,H82,I82)</f>
        <v>5.4570547490277989E-2</v>
      </c>
      <c r="K82" s="440">
        <f>J82</f>
        <v>5.4570547490277989E-2</v>
      </c>
      <c r="L82" s="440">
        <f t="shared" ref="L82:P82" si="41">K82</f>
        <v>5.4570547490277989E-2</v>
      </c>
      <c r="M82" s="440">
        <f t="shared" si="41"/>
        <v>5.4570547490277989E-2</v>
      </c>
      <c r="N82" s="440">
        <f t="shared" si="41"/>
        <v>5.4570547490277989E-2</v>
      </c>
      <c r="O82" s="440">
        <f t="shared" si="41"/>
        <v>5.4570547490277989E-2</v>
      </c>
      <c r="P82" s="440">
        <f t="shared" si="41"/>
        <v>5.4570547490277989E-2</v>
      </c>
      <c r="Q82" s="440">
        <f t="shared" ref="Q82" si="42">P82</f>
        <v>5.4570547490277989E-2</v>
      </c>
      <c r="R82" s="440">
        <f t="shared" ref="R82" si="43">Q82</f>
        <v>5.4570547490277989E-2</v>
      </c>
      <c r="S82" s="328"/>
    </row>
    <row r="83" spans="1:45" ht="13">
      <c r="A83" s="677"/>
      <c r="B83" s="677"/>
      <c r="C83" s="45"/>
      <c r="D83" s="487"/>
      <c r="E83" s="487"/>
      <c r="F83" s="487"/>
      <c r="G83" s="487"/>
      <c r="H83" s="487"/>
      <c r="I83" s="487"/>
      <c r="J83" s="488"/>
      <c r="K83" s="556"/>
      <c r="L83" s="556"/>
      <c r="M83" s="556"/>
      <c r="N83" s="556"/>
      <c r="O83" s="556"/>
      <c r="P83" s="556"/>
      <c r="Q83" s="453"/>
      <c r="R83" s="453"/>
    </row>
    <row r="84" spans="1:45">
      <c r="A84" s="45"/>
      <c r="B84" s="64" t="s">
        <v>85</v>
      </c>
      <c r="C84" s="45"/>
      <c r="D84" s="418">
        <f>BS!C32</f>
        <v>740</v>
      </c>
      <c r="E84" s="418">
        <f>BS!D32</f>
        <v>932</v>
      </c>
      <c r="F84" s="418">
        <f>BS!E32</f>
        <v>1071</v>
      </c>
      <c r="G84" s="418">
        <f>BS!F32</f>
        <v>1454</v>
      </c>
      <c r="H84" s="418">
        <f>BS!G32</f>
        <v>1471</v>
      </c>
      <c r="I84" s="418">
        <f>BS!H32</f>
        <v>1925</v>
      </c>
      <c r="J84" s="481">
        <f>IS!J11*J85</f>
        <v>2096.2327754130647</v>
      </c>
      <c r="K84" s="553">
        <f>IS!K11*K85</f>
        <v>2518.8346794005865</v>
      </c>
      <c r="L84" s="553">
        <f>IS!L11*L85</f>
        <v>2979.4980622738999</v>
      </c>
      <c r="M84" s="553">
        <f>IS!M11*M85</f>
        <v>3422.1337626267104</v>
      </c>
      <c r="N84" s="553">
        <f>IS!N11*N85</f>
        <v>3506.2169701753037</v>
      </c>
      <c r="O84" s="553">
        <f>IS!O11*O85</f>
        <v>3625.7069975692275</v>
      </c>
      <c r="P84" s="553">
        <f>IS!P11*P85</f>
        <v>3763.2225262972056</v>
      </c>
      <c r="Q84" s="553">
        <f>IS!Q11*Q85</f>
        <v>4050.0244248076415</v>
      </c>
      <c r="R84" s="553">
        <f>IS!R11*R85</f>
        <v>4075.9362553149631</v>
      </c>
      <c r="S84" s="334"/>
    </row>
    <row r="85" spans="1:45" ht="13">
      <c r="A85" s="45"/>
      <c r="B85" s="65" t="s">
        <v>86</v>
      </c>
      <c r="C85" s="45"/>
      <c r="D85" s="486">
        <f>D84/IS!D11</f>
        <v>0.22200222002220021</v>
      </c>
      <c r="E85" s="486">
        <f>E84/IS!E11</f>
        <v>0.21745216985534296</v>
      </c>
      <c r="F85" s="486">
        <f>F84/IS!F11</f>
        <v>0.20142937746849726</v>
      </c>
      <c r="G85" s="486">
        <f>G84/IS!G11</f>
        <v>0.23123409669211195</v>
      </c>
      <c r="H85" s="486">
        <f>H84/IS!H11</f>
        <v>0.200600027273967</v>
      </c>
      <c r="I85" s="486">
        <f>I84/IS!I11</f>
        <v>0.22724589776885845</v>
      </c>
      <c r="J85" s="437">
        <f>AVERAGE(D85:I85)</f>
        <v>0.21666063151349632</v>
      </c>
      <c r="K85" s="440">
        <f t="shared" ref="K85:P85" si="44">AVERAGE(E85:J85)</f>
        <v>0.21577036676204564</v>
      </c>
      <c r="L85" s="440">
        <f t="shared" si="44"/>
        <v>0.21549006624649611</v>
      </c>
      <c r="M85" s="440">
        <f t="shared" si="44"/>
        <v>0.21783351437616258</v>
      </c>
      <c r="N85" s="440">
        <f t="shared" si="44"/>
        <v>0.21560008399017103</v>
      </c>
      <c r="O85" s="440">
        <f t="shared" si="44"/>
        <v>0.21810009344287171</v>
      </c>
      <c r="P85" s="440">
        <f t="shared" si="44"/>
        <v>0.21657579272187388</v>
      </c>
      <c r="Q85" s="440">
        <f t="shared" ref="Q85" si="45">AVERAGE(K85:P85)</f>
        <v>0.21656165292327015</v>
      </c>
      <c r="R85" s="440">
        <f t="shared" ref="R85" si="46">AVERAGE(L85:Q85)</f>
        <v>0.2166935339501409</v>
      </c>
      <c r="S85" s="328"/>
    </row>
    <row r="86" spans="1:45">
      <c r="A86" s="677"/>
      <c r="B86" s="677"/>
      <c r="C86" s="45"/>
      <c r="D86" s="490"/>
      <c r="E86" s="490"/>
      <c r="F86" s="490"/>
      <c r="G86" s="490"/>
      <c r="H86" s="490"/>
      <c r="I86" s="490"/>
      <c r="J86" s="419"/>
      <c r="K86" s="420"/>
      <c r="L86" s="420"/>
      <c r="M86" s="420"/>
      <c r="N86" s="420"/>
      <c r="O86" s="420"/>
      <c r="P86" s="420"/>
      <c r="Q86" s="453"/>
      <c r="R86" s="453"/>
    </row>
    <row r="87" spans="1:45">
      <c r="A87" s="45"/>
      <c r="B87" s="64" t="s">
        <v>87</v>
      </c>
      <c r="C87" s="45"/>
      <c r="D87" s="418">
        <f>BS!C31</f>
        <v>2963</v>
      </c>
      <c r="E87" s="418">
        <f>BS!D31</f>
        <v>3836</v>
      </c>
      <c r="F87" s="418">
        <f>BS!E31</f>
        <v>4660</v>
      </c>
      <c r="G87" s="418">
        <f>BS!F31</f>
        <v>5785</v>
      </c>
      <c r="H87" s="418">
        <f>BS!G31</f>
        <v>6819</v>
      </c>
      <c r="I87" s="418">
        <f>BS!H31</f>
        <v>8314</v>
      </c>
      <c r="J87" s="481">
        <f>IS!J4*J88</f>
        <v>9550.9500000000007</v>
      </c>
      <c r="K87" s="553">
        <f>IS!K4*K88</f>
        <v>11577.20544</v>
      </c>
      <c r="L87" s="553">
        <f>IS!L4*L88</f>
        <v>14181.143018399998</v>
      </c>
      <c r="M87" s="553">
        <f>IS!M4*M88</f>
        <v>16536.693521375997</v>
      </c>
      <c r="N87" s="553">
        <f>IS!N4*N88</f>
        <v>18946.713282114237</v>
      </c>
      <c r="O87" s="553">
        <f>IS!O4*O88</f>
        <v>20780.063297628363</v>
      </c>
      <c r="P87" s="553">
        <f>IS!P4*P88</f>
        <v>22664.357172921784</v>
      </c>
      <c r="Q87" s="553">
        <f>IS!Q4*Q88</f>
        <v>24393.240829061335</v>
      </c>
      <c r="R87" s="553">
        <f>IS!R4*R88</f>
        <v>26246.066556381771</v>
      </c>
      <c r="S87" s="334"/>
    </row>
    <row r="88" spans="1:45" ht="13">
      <c r="A88" s="45"/>
      <c r="B88" s="65" t="s">
        <v>88</v>
      </c>
      <c r="C88" s="45"/>
      <c r="D88" s="486">
        <f>D87/IS!D4</f>
        <v>0.65560349596194267</v>
      </c>
      <c r="E88" s="486">
        <f>E87/IS!E4</f>
        <v>0.65061058344640432</v>
      </c>
      <c r="F88" s="486">
        <f>F87/IS!F4</f>
        <v>0.64320220841959974</v>
      </c>
      <c r="G88" s="486">
        <f>G87/IS!G4</f>
        <v>0.64485564597034895</v>
      </c>
      <c r="H88" s="486">
        <f>H87/IS!H4</f>
        <v>0.62081209031318285</v>
      </c>
      <c r="I88" s="486">
        <f>I87/IS!I4</f>
        <v>0.62614851634282276</v>
      </c>
      <c r="J88" s="451">
        <v>0.61499999999999999</v>
      </c>
      <c r="K88" s="460">
        <v>0.6</v>
      </c>
      <c r="L88" s="460">
        <v>0.6</v>
      </c>
      <c r="M88" s="460">
        <v>0.6</v>
      </c>
      <c r="N88" s="460">
        <v>0.6</v>
      </c>
      <c r="O88" s="460">
        <v>0.6</v>
      </c>
      <c r="P88" s="460">
        <v>0.6</v>
      </c>
      <c r="Q88" s="460">
        <v>0.6</v>
      </c>
      <c r="R88" s="460">
        <v>0.6</v>
      </c>
      <c r="S88" s="328"/>
    </row>
    <row r="89" spans="1:45">
      <c r="A89" s="677"/>
      <c r="B89" s="677"/>
      <c r="C89" s="45"/>
      <c r="D89" s="490"/>
      <c r="E89" s="490"/>
      <c r="F89" s="490"/>
      <c r="G89" s="490"/>
      <c r="H89" s="490"/>
      <c r="I89" s="490"/>
      <c r="J89" s="419"/>
      <c r="K89" s="420"/>
      <c r="L89" s="420"/>
      <c r="M89" s="420"/>
      <c r="N89" s="420"/>
      <c r="O89" s="420"/>
      <c r="P89" s="420"/>
      <c r="Q89" s="453"/>
      <c r="R89" s="453"/>
    </row>
    <row r="90" spans="1:45">
      <c r="A90" s="45"/>
      <c r="B90" s="64" t="s">
        <v>89</v>
      </c>
      <c r="C90" s="45"/>
      <c r="D90" s="418">
        <f>BS!C36</f>
        <v>504</v>
      </c>
      <c r="E90" s="418">
        <f>BS!D36</f>
        <v>670</v>
      </c>
      <c r="F90" s="418">
        <f>BS!E36</f>
        <v>776</v>
      </c>
      <c r="G90" s="418">
        <f>BS!F36</f>
        <v>906</v>
      </c>
      <c r="H90" s="418">
        <f>BS!G36</f>
        <v>927</v>
      </c>
      <c r="I90" s="418">
        <f>BS!H36</f>
        <v>1140</v>
      </c>
      <c r="J90" s="481">
        <f>J91*IS!J4</f>
        <v>1404.1391190556467</v>
      </c>
      <c r="K90" s="553">
        <f>K91*IS!K4</f>
        <v>1744.5811384039325</v>
      </c>
      <c r="L90" s="553">
        <f>L91*IS!L4</f>
        <v>2136.9712025175263</v>
      </c>
      <c r="M90" s="553">
        <f>M91*IS!M4</f>
        <v>2491.9315596907186</v>
      </c>
      <c r="N90" s="553">
        <f>N91*IS!N4</f>
        <v>2855.0999460128578</v>
      </c>
      <c r="O90" s="553">
        <f>O91*IS!O4</f>
        <v>3131.3693681747659</v>
      </c>
      <c r="P90" s="553">
        <f>P91*IS!P4</f>
        <v>3415.3155735940036</v>
      </c>
      <c r="Q90" s="553">
        <f>Q91*IS!Q4</f>
        <v>3675.8428513232898</v>
      </c>
      <c r="R90" s="553">
        <f>R91*IS!R4</f>
        <v>3955.0470887694541</v>
      </c>
      <c r="S90" s="334"/>
    </row>
    <row r="91" spans="1:45" ht="13">
      <c r="A91" s="45"/>
      <c r="B91" s="65" t="s">
        <v>90</v>
      </c>
      <c r="C91" s="45"/>
      <c r="D91" s="491">
        <f>D90/IS!D4</f>
        <v>0.11151676070361766</v>
      </c>
      <c r="E91" s="491">
        <f>E90/IS!E4</f>
        <v>0.11363636363636363</v>
      </c>
      <c r="F91" s="491">
        <f>F90/IS!F4</f>
        <v>0.10710835058661146</v>
      </c>
      <c r="G91" s="491">
        <f>G90/IS!G4</f>
        <v>0.10099208560918516</v>
      </c>
      <c r="H91" s="491">
        <f>H90/IS!H4</f>
        <v>8.4395484340859431E-2</v>
      </c>
      <c r="I91" s="491">
        <f>I90/IS!I4</f>
        <v>8.5856303660189787E-2</v>
      </c>
      <c r="J91" s="437">
        <f>AVERAGE(G91:I91)</f>
        <v>9.04146245367448E-2</v>
      </c>
      <c r="K91" s="440">
        <f>J91</f>
        <v>9.04146245367448E-2</v>
      </c>
      <c r="L91" s="440">
        <f t="shared" ref="L91:P91" si="47">K91</f>
        <v>9.04146245367448E-2</v>
      </c>
      <c r="M91" s="440">
        <f t="shared" si="47"/>
        <v>9.04146245367448E-2</v>
      </c>
      <c r="N91" s="440">
        <f t="shared" si="47"/>
        <v>9.04146245367448E-2</v>
      </c>
      <c r="O91" s="440">
        <f t="shared" si="47"/>
        <v>9.04146245367448E-2</v>
      </c>
      <c r="P91" s="440">
        <f t="shared" si="47"/>
        <v>9.04146245367448E-2</v>
      </c>
      <c r="Q91" s="440">
        <f t="shared" ref="Q91" si="48">P91</f>
        <v>9.04146245367448E-2</v>
      </c>
      <c r="R91" s="440">
        <f t="shared" ref="R91" si="49">Q91</f>
        <v>9.04146245367448E-2</v>
      </c>
      <c r="S91" s="328"/>
    </row>
    <row r="92" spans="1:45">
      <c r="A92" s="677"/>
      <c r="B92" s="677"/>
      <c r="C92" s="45"/>
      <c r="D92" s="415"/>
      <c r="E92" s="415"/>
      <c r="F92" s="415"/>
      <c r="G92" s="415"/>
      <c r="H92" s="415"/>
      <c r="I92" s="415"/>
      <c r="J92" s="557"/>
      <c r="K92" s="415"/>
      <c r="L92" s="415"/>
      <c r="M92" s="415"/>
      <c r="N92" s="415"/>
      <c r="O92" s="415"/>
      <c r="P92" s="415"/>
      <c r="Q92" s="417"/>
      <c r="R92" s="417"/>
    </row>
    <row r="93" spans="1:45" s="279" customFormat="1" ht="13">
      <c r="A93" s="282"/>
      <c r="B93" s="278" t="s">
        <v>91</v>
      </c>
      <c r="D93" s="473"/>
      <c r="E93" s="473"/>
      <c r="F93" s="473"/>
      <c r="G93" s="473"/>
      <c r="H93" s="473"/>
      <c r="I93" s="473"/>
      <c r="J93" s="537"/>
      <c r="K93" s="473"/>
      <c r="L93" s="473"/>
      <c r="M93" s="473"/>
      <c r="N93" s="473"/>
      <c r="O93" s="473"/>
      <c r="P93" s="473"/>
      <c r="Q93" s="473"/>
      <c r="R93" s="473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  <c r="AN93" s="321"/>
      <c r="AO93" s="321"/>
      <c r="AP93" s="321"/>
      <c r="AQ93" s="321"/>
      <c r="AR93" s="321"/>
      <c r="AS93" s="321"/>
    </row>
    <row r="94" spans="1:45">
      <c r="A94" s="677"/>
      <c r="B94" s="677"/>
      <c r="C94" s="45"/>
      <c r="D94" s="415"/>
      <c r="E94" s="415"/>
      <c r="F94" s="415"/>
      <c r="G94" s="415"/>
      <c r="H94" s="415"/>
      <c r="I94" s="415"/>
      <c r="J94" s="416"/>
      <c r="K94" s="415"/>
      <c r="L94" s="415"/>
      <c r="M94" s="415"/>
      <c r="N94" s="415"/>
      <c r="O94" s="415"/>
      <c r="P94" s="415"/>
      <c r="Q94" s="417"/>
      <c r="R94" s="417"/>
    </row>
    <row r="95" spans="1:45" ht="13">
      <c r="A95" s="45"/>
      <c r="B95" s="44" t="s">
        <v>92</v>
      </c>
      <c r="C95" s="45"/>
      <c r="D95" s="415"/>
      <c r="E95" s="415"/>
      <c r="F95" s="415"/>
      <c r="G95" s="415"/>
      <c r="H95" s="492"/>
      <c r="I95" s="493">
        <f>BS!H14+BS!H15+BS!H16</f>
        <v>4187</v>
      </c>
      <c r="J95" s="494">
        <f>SUM(J96:J99)</f>
        <v>5217.7716013924128</v>
      </c>
      <c r="K95" s="495">
        <f>SUM(K96:K99)</f>
        <v>6366.3095549172649</v>
      </c>
      <c r="L95" s="495">
        <f>SUM(L96:L100)</f>
        <v>7739.7112201321224</v>
      </c>
      <c r="M95" s="495">
        <f>SUM(M96:M99)</f>
        <v>9010.8659513155144</v>
      </c>
      <c r="N95" s="495">
        <f>SUM(N96:N100)</f>
        <v>10049.281354490808</v>
      </c>
      <c r="O95" s="495">
        <f t="shared" ref="O95:R95" si="50">SUM(O96:O98)</f>
        <v>9567.0360375309992</v>
      </c>
      <c r="P95" s="495">
        <f t="shared" si="50"/>
        <v>10351.053331459607</v>
      </c>
      <c r="Q95" s="495">
        <f t="shared" si="50"/>
        <v>11140.652912513258</v>
      </c>
      <c r="R95" s="495">
        <f t="shared" si="50"/>
        <v>11793.461890864817</v>
      </c>
      <c r="S95" s="342"/>
    </row>
    <row r="96" spans="1:45">
      <c r="A96" s="45"/>
      <c r="B96" s="66" t="s">
        <v>93</v>
      </c>
      <c r="C96" s="45"/>
      <c r="D96" s="415"/>
      <c r="E96" s="415"/>
      <c r="F96" s="415"/>
      <c r="G96" s="415"/>
      <c r="H96" s="496"/>
      <c r="I96" s="496"/>
      <c r="J96" s="497"/>
      <c r="K96" s="498"/>
      <c r="L96" s="498"/>
      <c r="M96" s="498"/>
      <c r="N96" s="498"/>
      <c r="O96" s="498"/>
      <c r="P96" s="498"/>
      <c r="Q96" s="498"/>
      <c r="R96" s="498"/>
      <c r="S96" s="343"/>
    </row>
    <row r="97" spans="1:45">
      <c r="A97" s="45"/>
      <c r="B97" s="66" t="s">
        <v>94</v>
      </c>
      <c r="C97" s="45"/>
      <c r="D97" s="415"/>
      <c r="E97" s="415"/>
      <c r="F97" s="415"/>
      <c r="G97" s="415"/>
      <c r="H97" s="496"/>
      <c r="I97" s="496"/>
      <c r="J97" s="499">
        <f>BS!I14</f>
        <v>3431.7046004808358</v>
      </c>
      <c r="K97" s="500">
        <f>BS!J14</f>
        <v>4263.7421301952954</v>
      </c>
      <c r="L97" s="500">
        <f>BS!K14</f>
        <v>5222.7402593174456</v>
      </c>
      <c r="M97" s="500">
        <f>BS!L14</f>
        <v>6090.2604887366006</v>
      </c>
      <c r="N97" s="500">
        <f>BS!M14</f>
        <v>6977.8410747180487</v>
      </c>
      <c r="O97" s="500">
        <f>BS!N14</f>
        <v>7653.0412982135886</v>
      </c>
      <c r="P97" s="500">
        <f>BS!O14</f>
        <v>8347.0035176278725</v>
      </c>
      <c r="Q97" s="500">
        <f>BS!P14</f>
        <v>8983.7300680110257</v>
      </c>
      <c r="R97" s="500">
        <f>BS!Q14</f>
        <v>9666.1029562203821</v>
      </c>
      <c r="S97" s="343"/>
    </row>
    <row r="98" spans="1:45">
      <c r="A98" s="45"/>
      <c r="B98" s="66" t="s">
        <v>80</v>
      </c>
      <c r="C98" s="45"/>
      <c r="D98" s="415"/>
      <c r="E98" s="415"/>
      <c r="F98" s="415"/>
      <c r="G98" s="415"/>
      <c r="H98" s="496"/>
      <c r="I98" s="496"/>
      <c r="J98" s="499">
        <f>BS!I15</f>
        <v>1098.567000911577</v>
      </c>
      <c r="K98" s="500">
        <f>BS!J15</f>
        <v>1322.2674247219691</v>
      </c>
      <c r="L98" s="500">
        <f>BS!K15</f>
        <v>1619.6709608146762</v>
      </c>
      <c r="M98" s="500">
        <f>BS!L15</f>
        <v>1888.7054625789133</v>
      </c>
      <c r="N98" s="500">
        <f>BS!M15</f>
        <v>1884.7402797727586</v>
      </c>
      <c r="O98" s="500">
        <f>BS!N15</f>
        <v>1913.9947393174102</v>
      </c>
      <c r="P98" s="500">
        <f>BS!O15</f>
        <v>2004.049813831735</v>
      </c>
      <c r="Q98" s="500">
        <f>BS!P15</f>
        <v>2156.9228445022327</v>
      </c>
      <c r="R98" s="500">
        <f>BS!Q15</f>
        <v>2127.3589346444355</v>
      </c>
      <c r="S98" s="343"/>
    </row>
    <row r="99" spans="1:45">
      <c r="A99" s="45"/>
      <c r="B99" s="66" t="s">
        <v>95</v>
      </c>
      <c r="C99" s="45"/>
      <c r="D99" s="415"/>
      <c r="E99" s="415"/>
      <c r="F99" s="415"/>
      <c r="G99" s="415"/>
      <c r="H99" s="496"/>
      <c r="I99" s="496"/>
      <c r="J99" s="499">
        <f>BS!I16</f>
        <v>687.5</v>
      </c>
      <c r="K99" s="500">
        <f>BS!J16</f>
        <v>780.3</v>
      </c>
      <c r="L99" s="500">
        <f>BS!K16</f>
        <v>897.3</v>
      </c>
      <c r="M99" s="500">
        <f>BS!L16</f>
        <v>1031.9000000000001</v>
      </c>
      <c r="N99" s="500">
        <f>BS!M16</f>
        <v>1186.7</v>
      </c>
      <c r="O99" s="500">
        <f>BS!N16</f>
        <v>1364.7</v>
      </c>
      <c r="P99" s="500">
        <f>BS!O16</f>
        <v>1569.4</v>
      </c>
      <c r="Q99" s="500">
        <f>BS!P16</f>
        <v>1804.82</v>
      </c>
      <c r="R99" s="500">
        <f>BS!Q16</f>
        <v>2075.5500000000002</v>
      </c>
      <c r="S99" s="343"/>
    </row>
    <row r="100" spans="1:45">
      <c r="A100" s="45"/>
      <c r="B100" s="66" t="s">
        <v>96</v>
      </c>
      <c r="C100" s="45"/>
      <c r="D100" s="415"/>
      <c r="E100" s="415"/>
      <c r="F100" s="415"/>
      <c r="G100" s="415"/>
      <c r="H100" s="496"/>
      <c r="I100" s="496"/>
      <c r="J100" s="497"/>
      <c r="K100" s="498"/>
      <c r="L100" s="498"/>
      <c r="M100" s="498"/>
      <c r="N100" s="498"/>
      <c r="O100" s="498"/>
      <c r="P100" s="498"/>
      <c r="Q100" s="453"/>
      <c r="R100" s="453"/>
    </row>
    <row r="101" spans="1:45" ht="13">
      <c r="A101" s="677"/>
      <c r="B101" s="677"/>
      <c r="C101" s="45"/>
      <c r="D101" s="417"/>
      <c r="E101" s="417"/>
      <c r="F101" s="417"/>
      <c r="G101" s="417"/>
      <c r="H101" s="501"/>
      <c r="I101" s="501"/>
      <c r="J101" s="502"/>
      <c r="K101" s="503"/>
      <c r="L101" s="503"/>
      <c r="M101" s="503"/>
      <c r="N101" s="503"/>
      <c r="O101" s="503"/>
      <c r="P101" s="503"/>
      <c r="Q101" s="453"/>
      <c r="R101" s="453"/>
    </row>
    <row r="102" spans="1:45" ht="13">
      <c r="A102" s="45"/>
      <c r="B102" s="44" t="s">
        <v>97</v>
      </c>
      <c r="C102" s="45"/>
      <c r="D102" s="417"/>
      <c r="E102" s="417"/>
      <c r="F102" s="417"/>
      <c r="G102" s="417"/>
      <c r="H102" s="492"/>
      <c r="I102" s="493">
        <f>BS!H30+I105+BS!H32</f>
        <v>3308</v>
      </c>
      <c r="J102" s="494">
        <f>SUM(J103:J105)</f>
        <v>4187.448083581141</v>
      </c>
      <c r="K102" s="495">
        <f>SUM(K103:K105)</f>
        <v>5161.9860403646489</v>
      </c>
      <c r="L102" s="495">
        <f t="shared" ref="L102:P102" si="51">SUM(L103:L105)</f>
        <v>6254.5443540742763</v>
      </c>
      <c r="M102" s="495">
        <f t="shared" si="51"/>
        <v>7225.618687697277</v>
      </c>
      <c r="N102" s="495">
        <f t="shared" si="51"/>
        <v>7886.5854467316412</v>
      </c>
      <c r="O102" s="495">
        <f t="shared" si="51"/>
        <v>8562.655341199903</v>
      </c>
      <c r="P102" s="495">
        <f t="shared" si="51"/>
        <v>9234.8017163881086</v>
      </c>
      <c r="Q102" s="495">
        <f>SUM(Q103:Q105)</f>
        <v>10032.499833776912</v>
      </c>
      <c r="R102" s="495">
        <f>SUM(R103:R105)</f>
        <v>10425.18087795668</v>
      </c>
      <c r="S102" s="342"/>
    </row>
    <row r="103" spans="1:45">
      <c r="A103" s="45"/>
      <c r="B103" s="66" t="s">
        <v>83</v>
      </c>
      <c r="C103" s="45"/>
      <c r="D103" s="417"/>
      <c r="E103" s="417"/>
      <c r="F103" s="417"/>
      <c r="G103" s="417"/>
      <c r="H103" s="496"/>
      <c r="I103" s="496"/>
      <c r="J103" s="499">
        <f>BS!I30</f>
        <v>194.92053858052395</v>
      </c>
      <c r="K103" s="500">
        <f>BS!J30</f>
        <v>247.44498871338803</v>
      </c>
      <c r="L103" s="500">
        <f>BS!K30</f>
        <v>296.50389167379075</v>
      </c>
      <c r="M103" s="500">
        <f>BS!L30</f>
        <v>348.37574092372785</v>
      </c>
      <c r="N103" s="500">
        <f>BS!M30</f>
        <v>400.08269641917929</v>
      </c>
      <c r="O103" s="500">
        <f>BS!N30</f>
        <v>437.01414219783157</v>
      </c>
      <c r="P103" s="500">
        <f>BS!O30</f>
        <v>477.56437532506089</v>
      </c>
      <c r="Q103" s="500">
        <f>BS!P30</f>
        <v>514.02918680067341</v>
      </c>
      <c r="R103" s="500">
        <f>BS!Q30</f>
        <v>552.69162714300478</v>
      </c>
      <c r="S103" s="343"/>
    </row>
    <row r="104" spans="1:45">
      <c r="A104" s="45"/>
      <c r="B104" s="66" t="s">
        <v>98</v>
      </c>
      <c r="C104" s="45"/>
      <c r="D104" s="417"/>
      <c r="E104" s="417"/>
      <c r="F104" s="417"/>
      <c r="G104" s="417"/>
      <c r="H104" s="496"/>
      <c r="I104" s="496"/>
      <c r="J104" s="499">
        <f>BS!I32</f>
        <v>2096.2327754130647</v>
      </c>
      <c r="K104" s="500">
        <f>BS!J32</f>
        <v>2518.8346794005865</v>
      </c>
      <c r="L104" s="500">
        <f>BS!K32</f>
        <v>2979.4980622738999</v>
      </c>
      <c r="M104" s="500">
        <f>BS!L32</f>
        <v>3422.1337626267104</v>
      </c>
      <c r="N104" s="500">
        <f>BS!M32</f>
        <v>3506.2169701753037</v>
      </c>
      <c r="O104" s="500">
        <f>BS!N32</f>
        <v>3625.7069975692275</v>
      </c>
      <c r="P104" s="500">
        <f>BS!O32</f>
        <v>3763.2225262972056</v>
      </c>
      <c r="Q104" s="500">
        <f>BS!P32</f>
        <v>4050.0244248076415</v>
      </c>
      <c r="R104" s="500">
        <f>BS!Q32</f>
        <v>4075.9362553149631</v>
      </c>
      <c r="S104" s="343"/>
    </row>
    <row r="105" spans="1:45">
      <c r="A105" s="45"/>
      <c r="B105" s="66" t="s">
        <v>99</v>
      </c>
      <c r="C105" s="45"/>
      <c r="D105" s="417"/>
      <c r="E105" s="417"/>
      <c r="F105" s="417"/>
      <c r="G105" s="461">
        <v>1085</v>
      </c>
      <c r="H105" s="504">
        <v>1179</v>
      </c>
      <c r="I105" s="504">
        <v>1179</v>
      </c>
      <c r="J105" s="489">
        <f t="shared" ref="J105:R105" si="52">J25*J106</f>
        <v>1896.2947695875521</v>
      </c>
      <c r="K105" s="505">
        <f t="shared" si="52"/>
        <v>2395.706372250675</v>
      </c>
      <c r="L105" s="505">
        <f t="shared" si="52"/>
        <v>2978.5424001265856</v>
      </c>
      <c r="M105" s="505">
        <f t="shared" si="52"/>
        <v>3455.1091841468392</v>
      </c>
      <c r="N105" s="505">
        <f t="shared" si="52"/>
        <v>3980.2857801371583</v>
      </c>
      <c r="O105" s="505">
        <f t="shared" si="52"/>
        <v>4499.934201432844</v>
      </c>
      <c r="P105" s="505">
        <f t="shared" si="52"/>
        <v>4994.0148147658419</v>
      </c>
      <c r="Q105" s="505">
        <f t="shared" si="52"/>
        <v>5468.4462221685972</v>
      </c>
      <c r="R105" s="505">
        <f t="shared" si="52"/>
        <v>5796.5529954987123</v>
      </c>
      <c r="S105" s="343"/>
    </row>
    <row r="106" spans="1:45">
      <c r="A106" s="45"/>
      <c r="B106" s="66" t="s">
        <v>100</v>
      </c>
      <c r="C106" s="45"/>
      <c r="D106" s="417"/>
      <c r="E106" s="417"/>
      <c r="F106" s="417"/>
      <c r="G106" s="506">
        <f>G105/F25</f>
        <v>0.23283261802575106</v>
      </c>
      <c r="H106" s="506">
        <f>H105/G25</f>
        <v>0.2038029386343993</v>
      </c>
      <c r="I106" s="506">
        <f>I105/H25</f>
        <v>0.17289925208974924</v>
      </c>
      <c r="J106" s="507">
        <f>AVERAGE(H106:I106)</f>
        <v>0.18835109536207428</v>
      </c>
      <c r="K106" s="508">
        <f t="shared" ref="K106:R106" si="53">J106</f>
        <v>0.18835109536207428</v>
      </c>
      <c r="L106" s="508">
        <f t="shared" si="53"/>
        <v>0.18835109536207428</v>
      </c>
      <c r="M106" s="508">
        <f t="shared" si="53"/>
        <v>0.18835109536207428</v>
      </c>
      <c r="N106" s="508">
        <f t="shared" si="53"/>
        <v>0.18835109536207428</v>
      </c>
      <c r="O106" s="508">
        <f t="shared" si="53"/>
        <v>0.18835109536207428</v>
      </c>
      <c r="P106" s="508">
        <f t="shared" si="53"/>
        <v>0.18835109536207428</v>
      </c>
      <c r="Q106" s="508">
        <f t="shared" si="53"/>
        <v>0.18835109536207428</v>
      </c>
      <c r="R106" s="508">
        <f t="shared" si="53"/>
        <v>0.18835109536207428</v>
      </c>
      <c r="S106" s="330"/>
    </row>
    <row r="107" spans="1:45">
      <c r="A107" s="45"/>
      <c r="B107" s="67"/>
      <c r="C107" s="49"/>
      <c r="D107" s="509"/>
      <c r="E107" s="509"/>
      <c r="F107" s="509"/>
      <c r="G107" s="509"/>
      <c r="H107" s="510"/>
      <c r="I107" s="510"/>
      <c r="J107" s="497"/>
      <c r="K107" s="498"/>
      <c r="L107" s="498"/>
      <c r="M107" s="498"/>
      <c r="N107" s="498"/>
      <c r="O107" s="498"/>
      <c r="P107" s="498"/>
      <c r="Q107" s="453"/>
      <c r="R107" s="453"/>
    </row>
    <row r="108" spans="1:45" ht="13">
      <c r="A108" s="45"/>
      <c r="B108" s="44" t="s">
        <v>101</v>
      </c>
      <c r="C108" s="45"/>
      <c r="D108" s="427"/>
      <c r="E108" s="427"/>
      <c r="F108" s="427"/>
      <c r="G108" s="427"/>
      <c r="H108" s="492"/>
      <c r="I108" s="492">
        <f>I95-I102</f>
        <v>879</v>
      </c>
      <c r="J108" s="511">
        <f t="shared" ref="J108:O108" si="54">J95-J102</f>
        <v>1030.3235178112718</v>
      </c>
      <c r="K108" s="512">
        <f t="shared" si="54"/>
        <v>1204.323514552616</v>
      </c>
      <c r="L108" s="512">
        <f t="shared" si="54"/>
        <v>1485.1668660578462</v>
      </c>
      <c r="M108" s="512">
        <f t="shared" si="54"/>
        <v>1785.2472636182374</v>
      </c>
      <c r="N108" s="512">
        <f t="shared" si="54"/>
        <v>2162.6959077591664</v>
      </c>
      <c r="O108" s="512">
        <f t="shared" si="54"/>
        <v>1004.3806963310963</v>
      </c>
      <c r="P108" s="512">
        <f>P95-P102</f>
        <v>1116.2516150714982</v>
      </c>
      <c r="Q108" s="512">
        <f>Q95-Q102</f>
        <v>1108.1530787363463</v>
      </c>
      <c r="R108" s="512">
        <f>R95-R102</f>
        <v>1368.2810129081372</v>
      </c>
      <c r="S108" s="342"/>
    </row>
    <row r="109" spans="1:45" ht="13">
      <c r="A109" s="45"/>
      <c r="B109" s="68" t="s">
        <v>102</v>
      </c>
      <c r="C109" s="45"/>
      <c r="D109" s="504"/>
      <c r="E109" s="504"/>
      <c r="F109" s="504"/>
      <c r="G109" s="504"/>
      <c r="H109" s="504"/>
      <c r="I109" s="513"/>
      <c r="J109" s="489">
        <f>I108-J108</f>
        <v>-151.32351781127181</v>
      </c>
      <c r="K109" s="505">
        <f t="shared" ref="K109:O109" si="55">J108-K108</f>
        <v>-173.99999674134415</v>
      </c>
      <c r="L109" s="505">
        <f t="shared" si="55"/>
        <v>-280.8433515052302</v>
      </c>
      <c r="M109" s="505">
        <f t="shared" si="55"/>
        <v>-300.08039756039125</v>
      </c>
      <c r="N109" s="505">
        <f t="shared" si="55"/>
        <v>-377.44864414092899</v>
      </c>
      <c r="O109" s="505">
        <f t="shared" si="55"/>
        <v>1158.3152114280701</v>
      </c>
      <c r="P109" s="505">
        <f>O108-P108</f>
        <v>-111.87091874040198</v>
      </c>
      <c r="Q109" s="505">
        <f>Q108-P108</f>
        <v>-8.0985363351519482</v>
      </c>
      <c r="R109" s="505">
        <f t="shared" ref="R109" si="56">R108-Q108</f>
        <v>260.12793417179091</v>
      </c>
      <c r="S109" s="341"/>
    </row>
    <row r="110" spans="1:45">
      <c r="A110" s="677"/>
      <c r="B110" s="677"/>
      <c r="C110" s="45"/>
      <c r="D110" s="415"/>
      <c r="E110" s="415"/>
      <c r="F110" s="415"/>
      <c r="G110" s="415"/>
      <c r="H110" s="415"/>
      <c r="I110" s="415"/>
      <c r="J110" s="416"/>
      <c r="K110" s="415"/>
      <c r="L110" s="415"/>
      <c r="M110" s="415"/>
      <c r="N110" s="415"/>
      <c r="O110" s="415"/>
      <c r="P110" s="415"/>
      <c r="Q110" s="417"/>
      <c r="R110" s="417"/>
    </row>
    <row r="111" spans="1:45" s="279" customFormat="1" ht="13">
      <c r="A111" s="282"/>
      <c r="B111" s="278" t="s">
        <v>103</v>
      </c>
      <c r="D111" s="473"/>
      <c r="E111" s="473"/>
      <c r="F111" s="473"/>
      <c r="G111" s="473"/>
      <c r="H111" s="473"/>
      <c r="I111" s="473"/>
      <c r="J111" s="537"/>
      <c r="K111" s="473"/>
      <c r="L111" s="473"/>
      <c r="M111" s="473"/>
      <c r="N111" s="473"/>
      <c r="O111" s="473"/>
      <c r="P111" s="473"/>
      <c r="Q111" s="473"/>
      <c r="R111" s="473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  <c r="AN111" s="321"/>
      <c r="AO111" s="321"/>
      <c r="AP111" s="321"/>
      <c r="AQ111" s="321"/>
      <c r="AR111" s="321"/>
      <c r="AS111" s="321"/>
    </row>
    <row r="112" spans="1:45">
      <c r="A112" s="677"/>
      <c r="B112" s="677"/>
      <c r="C112" s="45"/>
      <c r="D112" s="415"/>
      <c r="E112" s="415"/>
      <c r="F112" s="415"/>
      <c r="G112" s="415"/>
      <c r="H112" s="415"/>
      <c r="I112" s="415"/>
      <c r="J112" s="416"/>
      <c r="K112" s="415"/>
      <c r="L112" s="415"/>
      <c r="M112" s="415"/>
      <c r="N112" s="415"/>
      <c r="O112" s="415"/>
      <c r="P112" s="415"/>
      <c r="Q112" s="417"/>
      <c r="R112" s="417"/>
    </row>
    <row r="113" spans="1:45">
      <c r="A113" s="45"/>
      <c r="B113" s="45" t="s">
        <v>104</v>
      </c>
      <c r="C113" s="45"/>
      <c r="D113" s="490">
        <f>IS!D13</f>
        <v>290.39999999999998</v>
      </c>
      <c r="E113" s="490">
        <f>IS!E13</f>
        <v>396</v>
      </c>
      <c r="F113" s="490">
        <f>IS!F13</f>
        <v>352</v>
      </c>
      <c r="G113" s="490">
        <f>IS!G13</f>
        <v>477</v>
      </c>
      <c r="H113" s="490">
        <f>IS!H13</f>
        <v>470</v>
      </c>
      <c r="I113" s="490">
        <f>IS!I13</f>
        <v>618</v>
      </c>
      <c r="J113" s="514">
        <f>J142*J114</f>
        <v>831.57528553274767</v>
      </c>
      <c r="K113" s="453">
        <f t="shared" ref="K113:R113" si="57">K142*K114</f>
        <v>1054.4695817176641</v>
      </c>
      <c r="L113" s="453">
        <f t="shared" si="57"/>
        <v>1218.8793881848333</v>
      </c>
      <c r="M113" s="453">
        <f t="shared" si="57"/>
        <v>1442.9631492944316</v>
      </c>
      <c r="N113" s="453">
        <f t="shared" si="57"/>
        <v>1542.0921145359951</v>
      </c>
      <c r="O113" s="453">
        <f t="shared" si="57"/>
        <v>1576.2972630447523</v>
      </c>
      <c r="P113" s="453">
        <f t="shared" si="57"/>
        <v>1695.4995708545216</v>
      </c>
      <c r="Q113" s="453">
        <f t="shared" si="57"/>
        <v>1759.2545347278788</v>
      </c>
      <c r="R113" s="453">
        <f t="shared" si="57"/>
        <v>1849.5146610668653</v>
      </c>
    </row>
    <row r="114" spans="1:45" ht="13">
      <c r="A114" s="45"/>
      <c r="B114" s="65" t="s">
        <v>105</v>
      </c>
      <c r="C114" s="45"/>
      <c r="D114" s="486">
        <f>D113/BS!C19</f>
        <v>0.44066767830045522</v>
      </c>
      <c r="E114" s="486">
        <f>E113/BS!D19</f>
        <v>0.51697127937336818</v>
      </c>
      <c r="F114" s="486">
        <f>F113/BS!E19</f>
        <v>0.33428300094966762</v>
      </c>
      <c r="G114" s="486">
        <f>G113/BS!F19</f>
        <v>0.35125184094256257</v>
      </c>
      <c r="H114" s="486">
        <f>H113/BS!G19</f>
        <v>0.26659103800340328</v>
      </c>
      <c r="I114" s="486">
        <f>I113/BS!H19</f>
        <v>0.26998689384010482</v>
      </c>
      <c r="J114" s="437">
        <f>AVERAGE(D114:I114)</f>
        <v>0.36329195523492691</v>
      </c>
      <c r="K114" s="460">
        <v>0.4</v>
      </c>
      <c r="L114" s="460">
        <v>0.39</v>
      </c>
      <c r="M114" s="460">
        <v>0.38</v>
      </c>
      <c r="N114" s="460">
        <v>0.36</v>
      </c>
      <c r="O114" s="460">
        <v>0.34</v>
      </c>
      <c r="P114" s="460">
        <v>0.33</v>
      </c>
      <c r="Q114" s="460">
        <v>0.33</v>
      </c>
      <c r="R114" s="460">
        <v>0.33</v>
      </c>
      <c r="S114" s="328"/>
    </row>
    <row r="115" spans="1:45" ht="13">
      <c r="A115" s="45"/>
      <c r="B115" s="65"/>
      <c r="C115" s="45"/>
      <c r="D115" s="433"/>
      <c r="E115" s="433"/>
      <c r="F115" s="433"/>
      <c r="G115" s="433"/>
      <c r="H115" s="433"/>
      <c r="I115" s="433"/>
      <c r="J115" s="437"/>
      <c r="K115" s="440"/>
      <c r="L115" s="440"/>
      <c r="M115" s="440"/>
      <c r="N115" s="440"/>
      <c r="O115" s="440"/>
      <c r="P115" s="440"/>
      <c r="Q115" s="453"/>
      <c r="R115" s="453"/>
    </row>
    <row r="116" spans="1:45" ht="13">
      <c r="A116" s="45"/>
      <c r="B116" s="112" t="s">
        <v>106</v>
      </c>
      <c r="C116" s="112"/>
      <c r="D116" s="515">
        <f>IS!D16</f>
        <v>0</v>
      </c>
      <c r="E116" s="515">
        <f>IS!E16</f>
        <v>0</v>
      </c>
      <c r="F116" s="515">
        <f>IS!F16</f>
        <v>0</v>
      </c>
      <c r="G116" s="515">
        <f>IS!G16</f>
        <v>0</v>
      </c>
      <c r="H116" s="515">
        <f>IS!H16</f>
        <v>0</v>
      </c>
      <c r="I116" s="515">
        <f>IS!I16</f>
        <v>0</v>
      </c>
      <c r="J116" s="516">
        <v>269</v>
      </c>
      <c r="K116" s="517">
        <v>253</v>
      </c>
      <c r="L116" s="517">
        <v>228</v>
      </c>
      <c r="M116" s="517">
        <v>210</v>
      </c>
      <c r="N116" s="517">
        <v>160</v>
      </c>
      <c r="O116" s="517">
        <v>1</v>
      </c>
      <c r="P116" s="517">
        <v>0</v>
      </c>
      <c r="Q116" s="453"/>
      <c r="R116" s="453"/>
    </row>
    <row r="117" spans="1:45" ht="13">
      <c r="A117" s="45"/>
      <c r="B117" s="45" t="s">
        <v>107</v>
      </c>
      <c r="C117" s="45"/>
      <c r="D117" s="490">
        <f>IS!D14</f>
        <v>46</v>
      </c>
      <c r="E117" s="490">
        <f>IS!E14</f>
        <v>76</v>
      </c>
      <c r="F117" s="490">
        <f>IS!F14</f>
        <v>81</v>
      </c>
      <c r="G117" s="490">
        <f>IS!G14</f>
        <v>85</v>
      </c>
      <c r="H117" s="490">
        <f>IS!H14</f>
        <v>94</v>
      </c>
      <c r="I117" s="490">
        <f>IS!I14</f>
        <v>120</v>
      </c>
      <c r="J117" s="488">
        <f t="shared" ref="J117:R117" si="58">J148*J118</f>
        <v>345.80462618529629</v>
      </c>
      <c r="K117" s="556">
        <f t="shared" si="58"/>
        <v>358.89812005263684</v>
      </c>
      <c r="L117" s="556">
        <f t="shared" si="58"/>
        <v>396.99074842045559</v>
      </c>
      <c r="M117" s="556">
        <f t="shared" si="58"/>
        <v>456.80174915643079</v>
      </c>
      <c r="N117" s="556">
        <f t="shared" si="58"/>
        <v>528.43887846479913</v>
      </c>
      <c r="O117" s="556">
        <f t="shared" si="58"/>
        <v>608.95413612382276</v>
      </c>
      <c r="P117" s="556">
        <f t="shared" si="58"/>
        <v>688.19671131681446</v>
      </c>
      <c r="Q117" s="556">
        <f t="shared" si="58"/>
        <v>767.21399513853567</v>
      </c>
      <c r="R117" s="556">
        <f t="shared" si="58"/>
        <v>844.07795422674724</v>
      </c>
      <c r="S117" s="344"/>
    </row>
    <row r="118" spans="1:45" ht="13">
      <c r="A118" s="45"/>
      <c r="B118" s="65" t="s">
        <v>108</v>
      </c>
      <c r="C118" s="45"/>
      <c r="D118" s="518">
        <f>D117/BS!C21</f>
        <v>0.30065359477124182</v>
      </c>
      <c r="E118" s="518">
        <f>E117/BS!D21</f>
        <v>0.26480836236933797</v>
      </c>
      <c r="F118" s="518">
        <f>F117/BS!E21</f>
        <v>0.34913793103448276</v>
      </c>
      <c r="G118" s="518">
        <f>G117/BS!F21</f>
        <v>0.3794642857142857</v>
      </c>
      <c r="H118" s="518">
        <f>H117/BS!G21</f>
        <v>0.44976076555023925</v>
      </c>
      <c r="I118" s="518">
        <f>I117/BS!H21</f>
        <v>0.10704727921498662</v>
      </c>
      <c r="J118" s="437">
        <f>AVERAGE(D118:I118)</f>
        <v>0.3084787031090957</v>
      </c>
      <c r="K118" s="440">
        <f>J118</f>
        <v>0.3084787031090957</v>
      </c>
      <c r="L118" s="440">
        <f t="shared" ref="L118:P118" si="59">K118</f>
        <v>0.3084787031090957</v>
      </c>
      <c r="M118" s="440">
        <f t="shared" si="59"/>
        <v>0.3084787031090957</v>
      </c>
      <c r="N118" s="440">
        <f t="shared" si="59"/>
        <v>0.3084787031090957</v>
      </c>
      <c r="O118" s="440">
        <f t="shared" si="59"/>
        <v>0.3084787031090957</v>
      </c>
      <c r="P118" s="440">
        <f t="shared" si="59"/>
        <v>0.3084787031090957</v>
      </c>
      <c r="Q118" s="440">
        <f t="shared" ref="Q118" si="60">P118</f>
        <v>0.3084787031090957</v>
      </c>
      <c r="R118" s="440">
        <f t="shared" ref="R118" si="61">Q118</f>
        <v>0.3084787031090957</v>
      </c>
      <c r="S118" s="328"/>
    </row>
    <row r="119" spans="1:45">
      <c r="D119" s="417"/>
      <c r="E119" s="417"/>
      <c r="F119" s="417"/>
      <c r="G119" s="417"/>
      <c r="H119" s="417"/>
      <c r="I119" s="417"/>
      <c r="J119" s="560"/>
      <c r="K119" s="417"/>
      <c r="L119" s="417"/>
      <c r="M119" s="417"/>
      <c r="N119" s="417"/>
      <c r="O119" s="417"/>
      <c r="P119" s="417"/>
      <c r="Q119" s="417"/>
      <c r="R119" s="417"/>
    </row>
    <row r="120" spans="1:45" s="279" customFormat="1" ht="13">
      <c r="A120" s="282"/>
      <c r="B120" s="278" t="s">
        <v>109</v>
      </c>
      <c r="D120" s="473"/>
      <c r="E120" s="473"/>
      <c r="F120" s="473"/>
      <c r="G120" s="473"/>
      <c r="H120" s="473"/>
      <c r="I120" s="473"/>
      <c r="J120" s="537"/>
      <c r="K120" s="473"/>
      <c r="L120" s="473"/>
      <c r="M120" s="473"/>
      <c r="N120" s="473"/>
      <c r="O120" s="473"/>
      <c r="P120" s="473"/>
      <c r="Q120" s="473"/>
      <c r="R120" s="473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</row>
    <row r="121" spans="1:45" ht="13">
      <c r="A121" s="45"/>
      <c r="B121" s="65"/>
      <c r="C121" s="45"/>
      <c r="D121" s="519"/>
      <c r="E121" s="519"/>
      <c r="F121" s="519"/>
      <c r="G121" s="519"/>
      <c r="H121" s="519"/>
      <c r="I121" s="519"/>
      <c r="J121" s="474"/>
      <c r="K121" s="475"/>
      <c r="L121" s="475"/>
      <c r="M121" s="475"/>
      <c r="N121" s="475"/>
      <c r="O121" s="475"/>
      <c r="P121" s="475"/>
      <c r="Q121" s="417"/>
      <c r="R121" s="417"/>
    </row>
    <row r="122" spans="1:45" ht="13">
      <c r="A122" s="45"/>
      <c r="B122" s="65"/>
      <c r="C122" s="45"/>
      <c r="D122" s="520"/>
      <c r="E122" s="520"/>
      <c r="F122" s="520"/>
      <c r="G122" s="520"/>
      <c r="H122" s="520"/>
      <c r="I122" s="520"/>
      <c r="J122" s="474"/>
      <c r="K122" s="475"/>
      <c r="L122" s="475"/>
      <c r="M122" s="475"/>
      <c r="N122" s="475"/>
      <c r="O122" s="475"/>
      <c r="P122" s="475"/>
      <c r="Q122" s="417"/>
      <c r="R122" s="417"/>
    </row>
    <row r="123" spans="1:45" ht="13">
      <c r="A123" s="45"/>
      <c r="B123" s="65" t="s">
        <v>110</v>
      </c>
      <c r="C123" s="45"/>
      <c r="D123" s="520"/>
      <c r="E123" s="521">
        <f>D126</f>
        <v>231</v>
      </c>
      <c r="F123" s="521">
        <f t="shared" ref="F123:O123" si="62">E126</f>
        <v>302</v>
      </c>
      <c r="G123" s="521">
        <f t="shared" si="62"/>
        <v>369</v>
      </c>
      <c r="H123" s="521">
        <f t="shared" si="62"/>
        <v>461</v>
      </c>
      <c r="I123" s="521">
        <f t="shared" si="62"/>
        <v>518</v>
      </c>
      <c r="J123" s="561">
        <f t="shared" si="62"/>
        <v>590</v>
      </c>
      <c r="K123" s="522">
        <f t="shared" si="62"/>
        <v>678.5</v>
      </c>
      <c r="L123" s="522">
        <f t="shared" si="62"/>
        <v>780.27499999999998</v>
      </c>
      <c r="M123" s="522">
        <f t="shared" si="62"/>
        <v>897.31624999999997</v>
      </c>
      <c r="N123" s="522">
        <f t="shared" si="62"/>
        <v>1031.9136874999999</v>
      </c>
      <c r="O123" s="522">
        <f t="shared" si="62"/>
        <v>1186.700740625</v>
      </c>
      <c r="P123" s="522">
        <f>O126</f>
        <v>1364.70585171875</v>
      </c>
      <c r="Q123" s="522">
        <f t="shared" ref="Q123:R123" si="63">P126</f>
        <v>1569.4117294765624</v>
      </c>
      <c r="R123" s="522">
        <f t="shared" si="63"/>
        <v>1804.8234888980469</v>
      </c>
      <c r="S123" s="345"/>
    </row>
    <row r="124" spans="1:45" ht="13">
      <c r="A124" s="45"/>
      <c r="B124" s="65" t="s">
        <v>111</v>
      </c>
      <c r="C124" s="45"/>
      <c r="D124" s="520"/>
      <c r="E124" s="521">
        <f>E126+E125-E123</f>
        <v>365</v>
      </c>
      <c r="F124" s="521">
        <f t="shared" ref="F124:I124" si="64">F126+F125-F123</f>
        <v>425</v>
      </c>
      <c r="G124" s="521">
        <f t="shared" si="64"/>
        <v>551</v>
      </c>
      <c r="H124" s="521">
        <f t="shared" si="64"/>
        <v>607</v>
      </c>
      <c r="I124" s="521">
        <f t="shared" si="64"/>
        <v>693</v>
      </c>
      <c r="J124" s="561">
        <f>J126+J125-J123</f>
        <v>789.66545454545439</v>
      </c>
      <c r="K124" s="562">
        <f t="shared" ref="K124" si="65">K126+K125-K123</f>
        <v>893.4545404958676</v>
      </c>
      <c r="L124" s="562">
        <f t="shared" ref="L124" si="66">L126+L125-L123</f>
        <v>1010.9194220871524</v>
      </c>
      <c r="M124" s="562">
        <f t="shared" ref="M124" si="67">M126+M125-M123</f>
        <v>1143.8671554384032</v>
      </c>
      <c r="N124" s="562">
        <f t="shared" ref="N124" si="68">N126+N125-N123</f>
        <v>1294.344316469997</v>
      </c>
      <c r="O124" s="562">
        <f t="shared" ref="O124" si="69">O126+O125-O123</f>
        <v>1464.6688575251014</v>
      </c>
      <c r="P124" s="562">
        <f>P126+P125-P123</f>
        <v>1657.4662169103019</v>
      </c>
      <c r="Q124" s="562">
        <f t="shared" ref="Q124:R124" si="70">Q126+Q125-Q123</f>
        <v>1875.7102514463859</v>
      </c>
      <c r="R124" s="562">
        <f t="shared" si="70"/>
        <v>2122.7696388755503</v>
      </c>
      <c r="S124" s="345"/>
    </row>
    <row r="125" spans="1:45" ht="13">
      <c r="A125" s="45"/>
      <c r="B125" s="65" t="s">
        <v>112</v>
      </c>
      <c r="C125" s="45"/>
      <c r="D125" s="520"/>
      <c r="E125" s="476">
        <f>CFS!D7</f>
        <v>294</v>
      </c>
      <c r="F125" s="476">
        <f>CFS!E7</f>
        <v>358</v>
      </c>
      <c r="G125" s="476">
        <f>CFS!F7</f>
        <v>459</v>
      </c>
      <c r="H125" s="476">
        <f>CFS!G7</f>
        <v>550</v>
      </c>
      <c r="I125" s="476">
        <f>CFS!H7</f>
        <v>621</v>
      </c>
      <c r="J125" s="456">
        <f t="shared" ref="J125:R125" si="71">I125+J128*I125</f>
        <v>701.16545454545451</v>
      </c>
      <c r="K125" s="458">
        <f t="shared" si="71"/>
        <v>791.67954049586774</v>
      </c>
      <c r="L125" s="458">
        <f t="shared" si="71"/>
        <v>893.87817208715251</v>
      </c>
      <c r="M125" s="458">
        <f t="shared" si="71"/>
        <v>1009.2697179384031</v>
      </c>
      <c r="N125" s="458">
        <f t="shared" si="71"/>
        <v>1139.557263344997</v>
      </c>
      <c r="O125" s="458">
        <f t="shared" si="71"/>
        <v>1286.6637464313512</v>
      </c>
      <c r="P125" s="458">
        <f t="shared" si="71"/>
        <v>1452.7603391524892</v>
      </c>
      <c r="Q125" s="458">
        <f t="shared" si="71"/>
        <v>1640.2984920249014</v>
      </c>
      <c r="R125" s="458">
        <f t="shared" si="71"/>
        <v>1852.0461155408432</v>
      </c>
      <c r="S125" s="323"/>
    </row>
    <row r="126" spans="1:45" ht="13">
      <c r="A126" s="45"/>
      <c r="B126" s="284" t="s">
        <v>113</v>
      </c>
      <c r="C126" s="45"/>
      <c r="D126" s="523">
        <f>BS!C16</f>
        <v>231</v>
      </c>
      <c r="E126" s="523">
        <f>BS!D16</f>
        <v>302</v>
      </c>
      <c r="F126" s="523">
        <f>BS!E16</f>
        <v>369</v>
      </c>
      <c r="G126" s="523">
        <f>BS!F16</f>
        <v>461</v>
      </c>
      <c r="H126" s="523">
        <f>BS!G16</f>
        <v>518</v>
      </c>
      <c r="I126" s="523">
        <f>BS!H16</f>
        <v>590</v>
      </c>
      <c r="J126" s="524">
        <f t="shared" ref="J126:R126" si="72">I126+J129*I126</f>
        <v>678.5</v>
      </c>
      <c r="K126" s="563">
        <f t="shared" si="72"/>
        <v>780.27499999999998</v>
      </c>
      <c r="L126" s="563">
        <f t="shared" si="72"/>
        <v>897.31624999999997</v>
      </c>
      <c r="M126" s="563">
        <f t="shared" si="72"/>
        <v>1031.9136874999999</v>
      </c>
      <c r="N126" s="563">
        <f t="shared" si="72"/>
        <v>1186.700740625</v>
      </c>
      <c r="O126" s="563">
        <f t="shared" si="72"/>
        <v>1364.70585171875</v>
      </c>
      <c r="P126" s="563">
        <f t="shared" si="72"/>
        <v>1569.4117294765624</v>
      </c>
      <c r="Q126" s="563">
        <f t="shared" si="72"/>
        <v>1804.8234888980469</v>
      </c>
      <c r="R126" s="563">
        <f t="shared" si="72"/>
        <v>2075.5470122327538</v>
      </c>
      <c r="S126" s="346"/>
    </row>
    <row r="127" spans="1:45" ht="13">
      <c r="A127" s="45"/>
      <c r="B127" s="65"/>
      <c r="C127" s="45"/>
      <c r="D127" s="520"/>
      <c r="E127" s="520"/>
      <c r="F127" s="520"/>
      <c r="G127" s="520"/>
      <c r="H127" s="520"/>
      <c r="I127" s="520"/>
      <c r="J127" s="437"/>
      <c r="K127" s="440"/>
      <c r="L127" s="440"/>
      <c r="M127" s="440"/>
      <c r="N127" s="440"/>
      <c r="O127" s="440"/>
      <c r="P127" s="440"/>
      <c r="Q127" s="453"/>
      <c r="R127" s="453"/>
    </row>
    <row r="128" spans="1:45" ht="13">
      <c r="A128" s="45"/>
      <c r="B128" s="65" t="s">
        <v>114</v>
      </c>
      <c r="C128" s="45"/>
      <c r="D128" s="519"/>
      <c r="E128" s="519"/>
      <c r="F128" s="525">
        <f>(F125-E125)/E125</f>
        <v>0.21768707482993196</v>
      </c>
      <c r="G128" s="525">
        <f t="shared" ref="G128:I128" si="73">(G125-F125)/F125</f>
        <v>0.28212290502793297</v>
      </c>
      <c r="H128" s="525">
        <f t="shared" si="73"/>
        <v>0.19825708061002179</v>
      </c>
      <c r="I128" s="525">
        <f t="shared" si="73"/>
        <v>0.12909090909090909</v>
      </c>
      <c r="J128" s="437">
        <f>I128</f>
        <v>0.12909090909090909</v>
      </c>
      <c r="K128" s="440">
        <f>J128</f>
        <v>0.12909090909090909</v>
      </c>
      <c r="L128" s="440">
        <f t="shared" ref="L128:P128" si="74">K128</f>
        <v>0.12909090909090909</v>
      </c>
      <c r="M128" s="440">
        <f t="shared" si="74"/>
        <v>0.12909090909090909</v>
      </c>
      <c r="N128" s="440">
        <f t="shared" si="74"/>
        <v>0.12909090909090909</v>
      </c>
      <c r="O128" s="440">
        <f t="shared" si="74"/>
        <v>0.12909090909090909</v>
      </c>
      <c r="P128" s="440">
        <f t="shared" si="74"/>
        <v>0.12909090909090909</v>
      </c>
      <c r="Q128" s="440">
        <f t="shared" ref="Q128" si="75">P128</f>
        <v>0.12909090909090909</v>
      </c>
      <c r="R128" s="440">
        <f t="shared" ref="R128" si="76">Q128</f>
        <v>0.12909090909090909</v>
      </c>
      <c r="S128" s="328"/>
    </row>
    <row r="129" spans="1:45" ht="13">
      <c r="A129" s="45"/>
      <c r="B129" s="65" t="s">
        <v>115</v>
      </c>
      <c r="C129" s="45"/>
      <c r="D129" s="519"/>
      <c r="E129" s="519"/>
      <c r="F129" s="525">
        <f>(F126-E126)/E126</f>
        <v>0.22185430463576158</v>
      </c>
      <c r="G129" s="525">
        <f t="shared" ref="G129:I129" si="77">(G126-F126)/F126</f>
        <v>0.24932249322493225</v>
      </c>
      <c r="H129" s="525">
        <f t="shared" si="77"/>
        <v>0.12364425162689804</v>
      </c>
      <c r="I129" s="525">
        <f t="shared" si="77"/>
        <v>0.138996138996139</v>
      </c>
      <c r="J129" s="451">
        <v>0.15</v>
      </c>
      <c r="K129" s="460">
        <v>0.15</v>
      </c>
      <c r="L129" s="460">
        <v>0.15</v>
      </c>
      <c r="M129" s="460">
        <v>0.15</v>
      </c>
      <c r="N129" s="460">
        <v>0.15</v>
      </c>
      <c r="O129" s="460">
        <v>0.15</v>
      </c>
      <c r="P129" s="460">
        <v>0.15</v>
      </c>
      <c r="Q129" s="460">
        <v>0.15</v>
      </c>
      <c r="R129" s="460">
        <v>0.15</v>
      </c>
      <c r="S129" s="328"/>
    </row>
    <row r="130" spans="1:45" ht="13">
      <c r="A130" s="45"/>
      <c r="B130" s="65"/>
      <c r="C130" s="45"/>
      <c r="D130" s="519"/>
      <c r="E130" s="519"/>
      <c r="F130" s="519"/>
      <c r="G130" s="519"/>
      <c r="H130" s="519"/>
      <c r="I130" s="519"/>
      <c r="J130" s="474"/>
      <c r="K130" s="475"/>
      <c r="L130" s="475"/>
      <c r="M130" s="475"/>
      <c r="N130" s="475"/>
      <c r="O130" s="475"/>
      <c r="P130" s="475"/>
      <c r="Q130" s="417"/>
      <c r="R130" s="417"/>
    </row>
    <row r="131" spans="1:45">
      <c r="A131" s="677"/>
      <c r="B131" s="677"/>
      <c r="C131" s="45"/>
      <c r="D131" s="415"/>
      <c r="E131" s="415"/>
      <c r="F131" s="415"/>
      <c r="G131" s="415"/>
      <c r="H131" s="415"/>
      <c r="I131" s="415"/>
      <c r="J131" s="416"/>
      <c r="K131" s="415"/>
      <c r="L131" s="415"/>
      <c r="M131" s="415"/>
      <c r="N131" s="415"/>
      <c r="O131" s="415"/>
      <c r="P131" s="415"/>
      <c r="Q131" s="417"/>
      <c r="R131" s="417"/>
    </row>
    <row r="132" spans="1:45" s="279" customFormat="1" ht="13">
      <c r="A132" s="282"/>
      <c r="B132" s="278" t="s">
        <v>116</v>
      </c>
      <c r="D132" s="473"/>
      <c r="E132" s="473"/>
      <c r="F132" s="473"/>
      <c r="G132" s="473"/>
      <c r="H132" s="473"/>
      <c r="I132" s="473"/>
      <c r="J132" s="537"/>
      <c r="K132" s="473"/>
      <c r="L132" s="473"/>
      <c r="M132" s="473"/>
      <c r="N132" s="473"/>
      <c r="O132" s="473"/>
      <c r="P132" s="473"/>
      <c r="Q132" s="473"/>
      <c r="R132" s="473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  <c r="AN132" s="321"/>
      <c r="AO132" s="321"/>
      <c r="AP132" s="321"/>
      <c r="AQ132" s="321"/>
      <c r="AR132" s="321"/>
      <c r="AS132" s="321"/>
    </row>
    <row r="133" spans="1:45">
      <c r="A133" s="677"/>
      <c r="B133" s="677"/>
      <c r="C133" s="45"/>
      <c r="D133" s="415"/>
      <c r="E133" s="415"/>
      <c r="F133" s="415"/>
      <c r="G133" s="415"/>
      <c r="H133" s="415"/>
      <c r="I133" s="415"/>
      <c r="J133" s="416"/>
      <c r="K133" s="415"/>
      <c r="L133" s="415"/>
      <c r="M133" s="415"/>
      <c r="N133" s="415"/>
      <c r="O133" s="415"/>
      <c r="P133" s="415"/>
      <c r="Q133" s="417"/>
      <c r="R133" s="417"/>
    </row>
    <row r="134" spans="1:45">
      <c r="A134" s="45"/>
      <c r="B134" s="45" t="s">
        <v>117</v>
      </c>
      <c r="C134" s="45"/>
      <c r="D134" s="418">
        <f>-CFS!C14</f>
        <v>419</v>
      </c>
      <c r="E134" s="418">
        <f>-CFS!D14</f>
        <v>392</v>
      </c>
      <c r="F134" s="418">
        <f>-CFS!E14</f>
        <v>550</v>
      </c>
      <c r="G134" s="418">
        <f>-CFS!F14</f>
        <v>694</v>
      </c>
      <c r="H134" s="418">
        <f>-CFS!G14</f>
        <v>852</v>
      </c>
      <c r="I134" s="418">
        <f>-CFS!H14</f>
        <v>868</v>
      </c>
      <c r="J134" s="499">
        <f>IS!J4*J135</f>
        <v>1178.7492398269078</v>
      </c>
      <c r="K134" s="500">
        <f>IS!K4*K135</f>
        <v>1543.6273920000001</v>
      </c>
      <c r="L134" s="500">
        <f>IS!L4*L135</f>
        <v>1890.8190691199998</v>
      </c>
      <c r="M134" s="500">
        <f>IS!M4*M135</f>
        <v>1929.2809108272002</v>
      </c>
      <c r="N134" s="500">
        <f>IS!N4*N135</f>
        <v>1894.6713282114238</v>
      </c>
      <c r="O134" s="500">
        <f>IS!O4*O135</f>
        <v>2078.0063297628362</v>
      </c>
      <c r="P134" s="500">
        <f>IS!P4*P135</f>
        <v>1888.6964310768155</v>
      </c>
      <c r="Q134" s="500">
        <f>IS!Q4*Q135</f>
        <v>2032.7700690884446</v>
      </c>
      <c r="R134" s="500">
        <f>IS!R4*R135</f>
        <v>2187.1722130318144</v>
      </c>
      <c r="S134" s="341"/>
    </row>
    <row r="135" spans="1:45" ht="13">
      <c r="A135" s="45"/>
      <c r="B135" s="65" t="s">
        <v>51</v>
      </c>
      <c r="C135" s="45"/>
      <c r="D135" s="486">
        <f>D134/IS!D4</f>
        <v>9.2709370505586905E-2</v>
      </c>
      <c r="E135" s="486">
        <f>E134/IS!E4</f>
        <v>6.6485753052917235E-2</v>
      </c>
      <c r="F135" s="486">
        <f>F134/IS!F4</f>
        <v>7.5914423740510703E-2</v>
      </c>
      <c r="G135" s="486">
        <f>G134/IS!G4</f>
        <v>7.736038345780849E-2</v>
      </c>
      <c r="H135" s="486">
        <f>H134/IS!H4</f>
        <v>7.7567370721048801E-2</v>
      </c>
      <c r="I135" s="486">
        <f>I134/IS!I4</f>
        <v>6.5371290857056785E-2</v>
      </c>
      <c r="J135" s="437">
        <f>AVERAGE(D135:I135)</f>
        <v>7.5901432055821491E-2</v>
      </c>
      <c r="K135" s="460">
        <v>0.08</v>
      </c>
      <c r="L135" s="460">
        <v>0.08</v>
      </c>
      <c r="M135" s="460">
        <v>7.0000000000000007E-2</v>
      </c>
      <c r="N135" s="460">
        <v>0.06</v>
      </c>
      <c r="O135" s="460">
        <v>0.06</v>
      </c>
      <c r="P135" s="460">
        <v>0.05</v>
      </c>
      <c r="Q135" s="460">
        <v>0.05</v>
      </c>
      <c r="R135" s="460">
        <v>0.05</v>
      </c>
      <c r="S135" s="328"/>
    </row>
    <row r="136" spans="1:45" ht="13">
      <c r="A136" s="45"/>
      <c r="B136" s="45" t="s">
        <v>118</v>
      </c>
      <c r="C136" s="45"/>
      <c r="D136" s="526">
        <f>-CFS!C15</f>
        <v>107</v>
      </c>
      <c r="E136" s="526">
        <f>-CFS!D15</f>
        <v>785</v>
      </c>
      <c r="F136" s="526">
        <f>-CFS!E15</f>
        <v>91</v>
      </c>
      <c r="G136" s="526">
        <f>-CFS!F15</f>
        <v>279</v>
      </c>
      <c r="H136" s="526">
        <f>-CFS!G15</f>
        <v>113</v>
      </c>
      <c r="I136" s="526">
        <f>-CFS!H15</f>
        <v>1084</v>
      </c>
      <c r="J136" s="527">
        <f>IS!J4*J137</f>
        <v>388.25</v>
      </c>
      <c r="K136" s="564">
        <f>IS!K4*K137</f>
        <v>482.38356000000005</v>
      </c>
      <c r="L136" s="564">
        <f>IS!L4*L137</f>
        <v>590.88095909999993</v>
      </c>
      <c r="M136" s="564">
        <f>IS!M4*M137</f>
        <v>689.02889672399999</v>
      </c>
      <c r="N136" s="564">
        <f>IS!N4*N137</f>
        <v>789.44638675475994</v>
      </c>
      <c r="O136" s="564">
        <f>IS!O4*O137</f>
        <v>865.83597073451517</v>
      </c>
      <c r="P136" s="564">
        <f>IS!P4*P137</f>
        <v>944.34821553840777</v>
      </c>
      <c r="Q136" s="564">
        <f>IS!Q4*Q137</f>
        <v>1016.3850345442223</v>
      </c>
      <c r="R136" s="564">
        <f>IS!R4*R137</f>
        <v>1093.5861065159072</v>
      </c>
      <c r="S136" s="344"/>
    </row>
    <row r="137" spans="1:45" ht="13">
      <c r="A137" s="45"/>
      <c r="B137" s="65" t="s">
        <v>51</v>
      </c>
      <c r="C137" s="45"/>
      <c r="D137" s="486">
        <f>D136/IS!D4</f>
        <v>2.3675185308109303E-2</v>
      </c>
      <c r="E137" s="486">
        <f>E136/IS!E4</f>
        <v>0.13314111261872455</v>
      </c>
      <c r="F137" s="486">
        <f>F136/IS!F4</f>
        <v>1.2560386473429951E-2</v>
      </c>
      <c r="G137" s="486">
        <f>G136/IS!G4</f>
        <v>3.1100211793557018E-2</v>
      </c>
      <c r="H137" s="486">
        <f>H136/IS!H4</f>
        <v>1.0287691187181355E-2</v>
      </c>
      <c r="I137" s="486">
        <f>I136/IS!I4</f>
        <v>8.163880102425064E-2</v>
      </c>
      <c r="J137" s="451">
        <v>2.5000000000000001E-2</v>
      </c>
      <c r="K137" s="460">
        <v>2.5000000000000001E-2</v>
      </c>
      <c r="L137" s="460">
        <v>2.5000000000000001E-2</v>
      </c>
      <c r="M137" s="460">
        <v>2.5000000000000001E-2</v>
      </c>
      <c r="N137" s="460">
        <v>2.5000000000000001E-2</v>
      </c>
      <c r="O137" s="460">
        <v>2.5000000000000001E-2</v>
      </c>
      <c r="P137" s="460">
        <v>2.5000000000000001E-2</v>
      </c>
      <c r="Q137" s="460">
        <v>2.5000000000000001E-2</v>
      </c>
      <c r="R137" s="460">
        <v>2.5000000000000001E-2</v>
      </c>
      <c r="S137" s="328"/>
    </row>
    <row r="138" spans="1:45" ht="13">
      <c r="A138" s="45"/>
      <c r="B138" s="65"/>
      <c r="C138" s="45"/>
      <c r="D138" s="433"/>
      <c r="E138" s="433"/>
      <c r="F138" s="433"/>
      <c r="G138" s="433"/>
      <c r="H138" s="433"/>
      <c r="I138" s="433"/>
      <c r="J138" s="568"/>
      <c r="K138" s="569"/>
      <c r="L138" s="569"/>
      <c r="M138" s="569"/>
      <c r="N138" s="569"/>
      <c r="O138" s="569"/>
      <c r="P138" s="569"/>
      <c r="Q138" s="569"/>
      <c r="R138" s="569"/>
      <c r="S138" s="328"/>
    </row>
    <row r="139" spans="1:45" s="279" customFormat="1" ht="13">
      <c r="A139" s="282"/>
      <c r="B139" s="278" t="s">
        <v>119</v>
      </c>
      <c r="D139" s="473"/>
      <c r="E139" s="473"/>
      <c r="F139" s="473"/>
      <c r="G139" s="473"/>
      <c r="H139" s="473"/>
      <c r="I139" s="473"/>
      <c r="J139" s="537"/>
      <c r="K139" s="473"/>
      <c r="L139" s="473"/>
      <c r="M139" s="473"/>
      <c r="N139" s="473"/>
      <c r="O139" s="473"/>
      <c r="P139" s="473"/>
      <c r="Q139" s="473"/>
      <c r="R139" s="473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  <c r="AN139" s="321"/>
      <c r="AO139" s="321"/>
      <c r="AP139" s="321"/>
      <c r="AQ139" s="321"/>
      <c r="AR139" s="321"/>
      <c r="AS139" s="321"/>
    </row>
    <row r="140" spans="1:45">
      <c r="A140" s="677"/>
      <c r="B140" s="677"/>
      <c r="C140" s="45"/>
      <c r="D140" s="415"/>
      <c r="E140" s="415"/>
      <c r="F140" s="415"/>
      <c r="G140" s="415"/>
      <c r="H140" s="415"/>
      <c r="I140" s="415"/>
      <c r="J140" s="416"/>
      <c r="K140" s="415"/>
      <c r="L140" s="415"/>
      <c r="M140" s="415"/>
      <c r="N140" s="415"/>
      <c r="O140" s="415"/>
      <c r="P140" s="415"/>
      <c r="Q140" s="417"/>
      <c r="R140" s="417"/>
    </row>
    <row r="141" spans="1:45">
      <c r="A141" s="677"/>
      <c r="B141" s="677"/>
      <c r="C141" s="45"/>
      <c r="D141" s="415"/>
      <c r="E141" s="415"/>
      <c r="F141" s="415"/>
      <c r="G141" s="415"/>
      <c r="H141" s="415"/>
      <c r="I141" s="415"/>
      <c r="J141" s="416"/>
      <c r="K141" s="415"/>
      <c r="L141" s="415"/>
      <c r="M141" s="415"/>
      <c r="N141" s="415"/>
      <c r="O141" s="415"/>
      <c r="P141" s="415"/>
      <c r="Q141" s="417"/>
      <c r="R141" s="417"/>
    </row>
    <row r="142" spans="1:45">
      <c r="A142" s="45"/>
      <c r="B142" s="45" t="s">
        <v>120</v>
      </c>
      <c r="C142" s="45"/>
      <c r="D142" s="417"/>
      <c r="E142" s="417"/>
      <c r="F142" s="417"/>
      <c r="G142" s="417"/>
      <c r="H142" s="417"/>
      <c r="I142" s="479"/>
      <c r="J142" s="528">
        <f>BS!H19</f>
        <v>2289</v>
      </c>
      <c r="K142" s="420">
        <f>J145</f>
        <v>2636.17395429416</v>
      </c>
      <c r="L142" s="420">
        <f>K145</f>
        <v>3125.3317645764955</v>
      </c>
      <c r="M142" s="420">
        <f t="shared" ref="M142:P142" si="78">L145</f>
        <v>3797.271445511662</v>
      </c>
      <c r="N142" s="420">
        <f t="shared" si="78"/>
        <v>4283.5892070444306</v>
      </c>
      <c r="O142" s="420">
        <f t="shared" si="78"/>
        <v>4636.1684207198596</v>
      </c>
      <c r="P142" s="420">
        <f t="shared" si="78"/>
        <v>5137.8774874379442</v>
      </c>
      <c r="Q142" s="420">
        <f t="shared" ref="Q142" si="79">P145</f>
        <v>5331.0743476602383</v>
      </c>
      <c r="R142" s="420">
        <f t="shared" ref="R142" si="80">Q145</f>
        <v>5604.589882020804</v>
      </c>
      <c r="S142" s="338"/>
    </row>
    <row r="143" spans="1:45">
      <c r="A143" s="45"/>
      <c r="B143" s="45" t="s">
        <v>121</v>
      </c>
      <c r="C143" s="45"/>
      <c r="D143" s="417"/>
      <c r="E143" s="417"/>
      <c r="F143" s="417"/>
      <c r="G143" s="417"/>
      <c r="H143" s="417"/>
      <c r="I143" s="480"/>
      <c r="J143" s="419">
        <f t="shared" ref="J143:R143" si="81">J134</f>
        <v>1178.7492398269078</v>
      </c>
      <c r="K143" s="420">
        <f t="shared" si="81"/>
        <v>1543.6273920000001</v>
      </c>
      <c r="L143" s="420">
        <f t="shared" si="81"/>
        <v>1890.8190691199998</v>
      </c>
      <c r="M143" s="420">
        <f t="shared" si="81"/>
        <v>1929.2809108272002</v>
      </c>
      <c r="N143" s="420">
        <f t="shared" si="81"/>
        <v>1894.6713282114238</v>
      </c>
      <c r="O143" s="420">
        <f t="shared" si="81"/>
        <v>2078.0063297628362</v>
      </c>
      <c r="P143" s="420">
        <f t="shared" si="81"/>
        <v>1888.6964310768155</v>
      </c>
      <c r="Q143" s="420">
        <f t="shared" si="81"/>
        <v>2032.7700690884446</v>
      </c>
      <c r="R143" s="420">
        <f t="shared" si="81"/>
        <v>2187.1722130318144</v>
      </c>
      <c r="S143" s="339"/>
    </row>
    <row r="144" spans="1:45">
      <c r="A144" s="45"/>
      <c r="B144" s="49" t="s">
        <v>122</v>
      </c>
      <c r="C144" s="49"/>
      <c r="D144" s="509"/>
      <c r="E144" s="509"/>
      <c r="F144" s="509"/>
      <c r="G144" s="509"/>
      <c r="H144" s="509"/>
      <c r="I144" s="529"/>
      <c r="J144" s="489">
        <f t="shared" ref="J144:O144" si="82">J113</f>
        <v>831.57528553274767</v>
      </c>
      <c r="K144" s="505">
        <f t="shared" si="82"/>
        <v>1054.4695817176641</v>
      </c>
      <c r="L144" s="505">
        <f t="shared" si="82"/>
        <v>1218.8793881848333</v>
      </c>
      <c r="M144" s="505">
        <f t="shared" si="82"/>
        <v>1442.9631492944316</v>
      </c>
      <c r="N144" s="505">
        <f t="shared" si="82"/>
        <v>1542.0921145359951</v>
      </c>
      <c r="O144" s="505">
        <f t="shared" si="82"/>
        <v>1576.2972630447523</v>
      </c>
      <c r="P144" s="505">
        <f>P113</f>
        <v>1695.4995708545216</v>
      </c>
      <c r="Q144" s="505">
        <f>Q113</f>
        <v>1759.2545347278788</v>
      </c>
      <c r="R144" s="505">
        <f>R113</f>
        <v>1849.5146610668653</v>
      </c>
      <c r="S144" s="341"/>
    </row>
    <row r="145" spans="1:45" ht="13">
      <c r="A145" s="45"/>
      <c r="B145" s="44" t="s">
        <v>123</v>
      </c>
      <c r="C145" s="44"/>
      <c r="D145" s="531"/>
      <c r="E145" s="531"/>
      <c r="F145" s="531"/>
      <c r="G145" s="531"/>
      <c r="H145" s="483"/>
      <c r="I145" s="427"/>
      <c r="J145" s="566">
        <f>J142+J143-J144</f>
        <v>2636.17395429416</v>
      </c>
      <c r="K145" s="565">
        <f>K142+K143-K144</f>
        <v>3125.3317645764955</v>
      </c>
      <c r="L145" s="565">
        <f t="shared" ref="L145:R145" si="83">L142+L143-L144</f>
        <v>3797.271445511662</v>
      </c>
      <c r="M145" s="565">
        <f t="shared" si="83"/>
        <v>4283.5892070444306</v>
      </c>
      <c r="N145" s="565">
        <f t="shared" si="83"/>
        <v>4636.1684207198596</v>
      </c>
      <c r="O145" s="565">
        <f t="shared" si="83"/>
        <v>5137.8774874379442</v>
      </c>
      <c r="P145" s="565">
        <f t="shared" si="83"/>
        <v>5331.0743476602383</v>
      </c>
      <c r="Q145" s="565">
        <f t="shared" si="83"/>
        <v>5604.589882020804</v>
      </c>
      <c r="R145" s="565">
        <f t="shared" si="83"/>
        <v>5942.2474339857527</v>
      </c>
      <c r="S145" s="340"/>
    </row>
    <row r="146" spans="1:45" ht="13">
      <c r="A146" s="45"/>
      <c r="B146" s="69"/>
      <c r="C146" s="45"/>
      <c r="D146" s="532"/>
      <c r="E146" s="532"/>
      <c r="F146" s="532"/>
      <c r="G146" s="532"/>
      <c r="H146" s="532"/>
      <c r="I146" s="533"/>
      <c r="J146" s="534"/>
      <c r="K146" s="533"/>
      <c r="L146" s="533"/>
      <c r="M146" s="533"/>
      <c r="N146" s="533"/>
      <c r="O146" s="533"/>
      <c r="P146" s="533"/>
      <c r="Q146" s="417"/>
      <c r="R146" s="417"/>
    </row>
    <row r="147" spans="1:45" ht="13">
      <c r="A147" s="45"/>
      <c r="B147" s="69"/>
      <c r="C147" s="45"/>
      <c r="D147" s="532"/>
      <c r="E147" s="532"/>
      <c r="F147" s="532"/>
      <c r="G147" s="532"/>
      <c r="H147" s="532"/>
      <c r="I147" s="533"/>
      <c r="J147" s="534"/>
      <c r="K147" s="533"/>
      <c r="L147" s="533"/>
      <c r="M147" s="533"/>
      <c r="N147" s="533"/>
      <c r="O147" s="533"/>
      <c r="P147" s="533"/>
      <c r="Q147" s="417"/>
      <c r="R147" s="417"/>
    </row>
    <row r="148" spans="1:45">
      <c r="A148" s="45"/>
      <c r="B148" s="45" t="s">
        <v>124</v>
      </c>
      <c r="C148" s="45"/>
      <c r="D148" s="417"/>
      <c r="E148" s="417"/>
      <c r="F148" s="417"/>
      <c r="G148" s="417"/>
      <c r="H148" s="417"/>
      <c r="I148" s="479"/>
      <c r="J148" s="528">
        <f>BS!H21</f>
        <v>1121</v>
      </c>
      <c r="K148" s="535">
        <f>J151</f>
        <v>1163.4453738147038</v>
      </c>
      <c r="L148" s="535">
        <f t="shared" ref="L148:P148" si="84">K151</f>
        <v>1286.9308137620669</v>
      </c>
      <c r="M148" s="535">
        <f t="shared" si="84"/>
        <v>1480.8210244416114</v>
      </c>
      <c r="N148" s="535">
        <f t="shared" si="84"/>
        <v>1713.0481720091805</v>
      </c>
      <c r="O148" s="535">
        <f t="shared" si="84"/>
        <v>1974.0556802991414</v>
      </c>
      <c r="P148" s="535">
        <f t="shared" si="84"/>
        <v>2230.9375149098341</v>
      </c>
      <c r="Q148" s="535">
        <f>P151</f>
        <v>2487.0890191314274</v>
      </c>
      <c r="R148" s="535">
        <f t="shared" ref="R148" si="85">Q151</f>
        <v>2736.2600585371142</v>
      </c>
      <c r="S148" s="338"/>
    </row>
    <row r="149" spans="1:45">
      <c r="A149" s="45"/>
      <c r="B149" s="45" t="s">
        <v>125</v>
      </c>
      <c r="C149" s="45"/>
      <c r="D149" s="417"/>
      <c r="E149" s="417"/>
      <c r="F149" s="417"/>
      <c r="G149" s="417"/>
      <c r="H149" s="417"/>
      <c r="I149" s="480"/>
      <c r="J149" s="419">
        <f t="shared" ref="J149:R149" si="86">J136</f>
        <v>388.25</v>
      </c>
      <c r="K149" s="420">
        <f t="shared" si="86"/>
        <v>482.38356000000005</v>
      </c>
      <c r="L149" s="420">
        <f t="shared" si="86"/>
        <v>590.88095909999993</v>
      </c>
      <c r="M149" s="420">
        <f t="shared" si="86"/>
        <v>689.02889672399999</v>
      </c>
      <c r="N149" s="420">
        <f t="shared" si="86"/>
        <v>789.44638675475994</v>
      </c>
      <c r="O149" s="420">
        <f t="shared" si="86"/>
        <v>865.83597073451517</v>
      </c>
      <c r="P149" s="420">
        <f t="shared" si="86"/>
        <v>944.34821553840777</v>
      </c>
      <c r="Q149" s="420">
        <f t="shared" si="86"/>
        <v>1016.3850345442223</v>
      </c>
      <c r="R149" s="420">
        <f t="shared" si="86"/>
        <v>1093.5861065159072</v>
      </c>
      <c r="S149" s="339"/>
    </row>
    <row r="150" spans="1:45">
      <c r="A150" s="45"/>
      <c r="B150" s="49" t="s">
        <v>126</v>
      </c>
      <c r="C150" s="49"/>
      <c r="D150" s="509"/>
      <c r="E150" s="509"/>
      <c r="F150" s="509"/>
      <c r="G150" s="509"/>
      <c r="H150" s="509"/>
      <c r="I150" s="529"/>
      <c r="J150" s="530">
        <f t="shared" ref="J150:R150" si="87">J117</f>
        <v>345.80462618529629</v>
      </c>
      <c r="K150" s="505">
        <f t="shared" si="87"/>
        <v>358.89812005263684</v>
      </c>
      <c r="L150" s="505">
        <f t="shared" si="87"/>
        <v>396.99074842045559</v>
      </c>
      <c r="M150" s="505">
        <f t="shared" si="87"/>
        <v>456.80174915643079</v>
      </c>
      <c r="N150" s="505">
        <f t="shared" si="87"/>
        <v>528.43887846479913</v>
      </c>
      <c r="O150" s="505">
        <f t="shared" si="87"/>
        <v>608.95413612382276</v>
      </c>
      <c r="P150" s="505">
        <f t="shared" si="87"/>
        <v>688.19671131681446</v>
      </c>
      <c r="Q150" s="505">
        <f t="shared" si="87"/>
        <v>767.21399513853567</v>
      </c>
      <c r="R150" s="505">
        <f t="shared" si="87"/>
        <v>844.07795422674724</v>
      </c>
      <c r="S150" s="341"/>
    </row>
    <row r="151" spans="1:45" ht="13">
      <c r="A151" s="45"/>
      <c r="B151" s="44" t="s">
        <v>127</v>
      </c>
      <c r="C151" s="44"/>
      <c r="D151" s="531"/>
      <c r="E151" s="531"/>
      <c r="F151" s="531"/>
      <c r="G151" s="531"/>
      <c r="H151" s="483"/>
      <c r="I151" s="427"/>
      <c r="J151" s="485">
        <f>J148+J149-J150</f>
        <v>1163.4453738147038</v>
      </c>
      <c r="K151" s="565">
        <f t="shared" ref="K151:O151" si="88">K148+K149-K150</f>
        <v>1286.9308137620669</v>
      </c>
      <c r="L151" s="565">
        <f t="shared" si="88"/>
        <v>1480.8210244416114</v>
      </c>
      <c r="M151" s="565">
        <f t="shared" si="88"/>
        <v>1713.0481720091805</v>
      </c>
      <c r="N151" s="565">
        <f t="shared" si="88"/>
        <v>1974.0556802991414</v>
      </c>
      <c r="O151" s="565">
        <f t="shared" si="88"/>
        <v>2230.9375149098341</v>
      </c>
      <c r="P151" s="565">
        <f>P148+P149-P150</f>
        <v>2487.0890191314274</v>
      </c>
      <c r="Q151" s="565">
        <f>Q148+Q149-Q150</f>
        <v>2736.2600585371142</v>
      </c>
      <c r="R151" s="565">
        <f t="shared" ref="R151" si="89">R148+R149-R150</f>
        <v>2985.7682108262743</v>
      </c>
      <c r="S151" s="340"/>
    </row>
    <row r="152" spans="1:45" ht="13">
      <c r="A152" s="45"/>
      <c r="B152" s="44"/>
      <c r="C152" s="44"/>
      <c r="D152" s="531"/>
      <c r="E152" s="531"/>
      <c r="F152" s="531"/>
      <c r="G152" s="531"/>
      <c r="H152" s="531"/>
      <c r="I152" s="427"/>
      <c r="J152" s="536"/>
      <c r="K152" s="427"/>
      <c r="L152" s="427"/>
      <c r="M152" s="427"/>
      <c r="N152" s="427"/>
      <c r="O152" s="427"/>
      <c r="P152" s="427"/>
      <c r="Q152" s="417"/>
      <c r="R152" s="417"/>
    </row>
    <row r="153" spans="1:45" s="279" customFormat="1" ht="13">
      <c r="A153" s="282"/>
      <c r="B153" s="278" t="s">
        <v>128</v>
      </c>
      <c r="D153" s="473"/>
      <c r="E153" s="473"/>
      <c r="F153" s="473"/>
      <c r="G153" s="473"/>
      <c r="H153" s="473"/>
      <c r="I153" s="473"/>
      <c r="J153" s="537"/>
      <c r="K153" s="473"/>
      <c r="L153" s="473"/>
      <c r="M153" s="473"/>
      <c r="N153" s="473"/>
      <c r="O153" s="473"/>
      <c r="P153" s="473"/>
      <c r="Q153" s="473"/>
      <c r="R153" s="473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  <c r="AN153" s="321"/>
      <c r="AO153" s="321"/>
      <c r="AP153" s="321"/>
      <c r="AQ153" s="321"/>
      <c r="AR153" s="321"/>
      <c r="AS153" s="321"/>
    </row>
    <row r="154" spans="1:45">
      <c r="A154" s="677"/>
      <c r="B154" s="677"/>
      <c r="C154" s="45"/>
      <c r="D154" s="415"/>
      <c r="E154" s="415"/>
      <c r="F154" s="415"/>
      <c r="G154" s="415"/>
      <c r="H154" s="415"/>
      <c r="I154" s="415"/>
      <c r="J154" s="416"/>
      <c r="K154" s="415"/>
      <c r="L154" s="415"/>
      <c r="M154" s="415"/>
      <c r="N154" s="415"/>
      <c r="O154" s="415"/>
      <c r="P154" s="415"/>
      <c r="Q154" s="417"/>
      <c r="R154" s="417"/>
    </row>
    <row r="155" spans="1:45">
      <c r="A155" s="45"/>
      <c r="B155" s="45" t="s">
        <v>129</v>
      </c>
      <c r="C155" s="45"/>
      <c r="D155" s="417"/>
      <c r="E155" s="417"/>
      <c r="F155" s="417"/>
      <c r="G155" s="417"/>
      <c r="H155" s="417"/>
      <c r="I155" s="479"/>
      <c r="J155" s="528">
        <f>BS!H43</f>
        <v>5242</v>
      </c>
      <c r="K155" s="420">
        <f>J158</f>
        <v>7274.3824399999994</v>
      </c>
      <c r="L155" s="420">
        <f t="shared" ref="L155:O155" si="90">K158</f>
        <v>10001.68966928</v>
      </c>
      <c r="M155" s="420">
        <f t="shared" si="90"/>
        <v>13815.058834943631</v>
      </c>
      <c r="N155" s="420">
        <f t="shared" si="90"/>
        <v>18553.237421597041</v>
      </c>
      <c r="O155" s="420">
        <f t="shared" si="90"/>
        <v>25342.865823080432</v>
      </c>
      <c r="P155" s="420">
        <f>O158</f>
        <v>33774.489306067167</v>
      </c>
      <c r="Q155" s="420">
        <f t="shared" ref="Q155:R155" si="91">P158</f>
        <v>43555.641320334529</v>
      </c>
      <c r="R155" s="420">
        <f t="shared" si="91"/>
        <v>54083.667712910661</v>
      </c>
      <c r="S155" s="338"/>
    </row>
    <row r="156" spans="1:45">
      <c r="A156" s="45"/>
      <c r="B156" s="45" t="s">
        <v>130</v>
      </c>
      <c r="C156" s="45"/>
      <c r="D156" s="417"/>
      <c r="E156" s="417"/>
      <c r="F156" s="417"/>
      <c r="G156" s="417"/>
      <c r="H156" s="417"/>
      <c r="I156" s="480"/>
      <c r="J156" s="481">
        <f>IS!J30</f>
        <v>2032.3824399999999</v>
      </c>
      <c r="K156" s="553">
        <f>IS!K30</f>
        <v>2727.3072292800007</v>
      </c>
      <c r="L156" s="553">
        <f>IS!L30</f>
        <v>3813.3691656636311</v>
      </c>
      <c r="M156" s="553">
        <f>IS!M30</f>
        <v>4738.1785866534092</v>
      </c>
      <c r="N156" s="553">
        <f>IS!N30</f>
        <v>6789.6284014833909</v>
      </c>
      <c r="O156" s="553">
        <f>IS!O30</f>
        <v>8431.6234829867335</v>
      </c>
      <c r="P156" s="553">
        <f>IS!P30</f>
        <v>9781.1520142673653</v>
      </c>
      <c r="Q156" s="553">
        <f>IS!Q30</f>
        <v>10528.026392576134</v>
      </c>
      <c r="R156" s="553">
        <f>IS!R30</f>
        <v>12371.19266471734</v>
      </c>
      <c r="S156" s="339"/>
    </row>
    <row r="157" spans="1:45">
      <c r="A157" s="45"/>
      <c r="B157" s="49" t="s">
        <v>131</v>
      </c>
      <c r="C157" s="49"/>
      <c r="D157" s="509"/>
      <c r="E157" s="509"/>
      <c r="F157" s="509"/>
      <c r="G157" s="509"/>
      <c r="H157" s="509"/>
      <c r="I157" s="510"/>
      <c r="J157" s="530" t="s">
        <v>132</v>
      </c>
      <c r="K157" s="505" t="s">
        <v>132</v>
      </c>
      <c r="L157" s="505" t="s">
        <v>132</v>
      </c>
      <c r="M157" s="505" t="s">
        <v>132</v>
      </c>
      <c r="N157" s="505" t="s">
        <v>132</v>
      </c>
      <c r="O157" s="505" t="s">
        <v>132</v>
      </c>
      <c r="P157" s="505" t="s">
        <v>132</v>
      </c>
      <c r="Q157" s="505" t="s">
        <v>132</v>
      </c>
      <c r="R157" s="505" t="s">
        <v>132</v>
      </c>
      <c r="S157" s="343"/>
    </row>
    <row r="158" spans="1:45">
      <c r="A158" s="45"/>
      <c r="B158" s="45" t="s">
        <v>133</v>
      </c>
      <c r="C158" s="45"/>
      <c r="D158" s="415"/>
      <c r="E158" s="415"/>
      <c r="F158" s="415"/>
      <c r="G158" s="415"/>
      <c r="H158" s="538"/>
      <c r="I158" s="415"/>
      <c r="J158" s="419">
        <f>+SUM(J155:J157)</f>
        <v>7274.3824399999994</v>
      </c>
      <c r="K158" s="570">
        <f t="shared" ref="K158:R158" si="92">+SUM(K155:K157)</f>
        <v>10001.68966928</v>
      </c>
      <c r="L158" s="570">
        <f t="shared" si="92"/>
        <v>13815.058834943631</v>
      </c>
      <c r="M158" s="570">
        <f t="shared" si="92"/>
        <v>18553.237421597041</v>
      </c>
      <c r="N158" s="570">
        <f t="shared" si="92"/>
        <v>25342.865823080432</v>
      </c>
      <c r="O158" s="570">
        <f t="shared" si="92"/>
        <v>33774.489306067167</v>
      </c>
      <c r="P158" s="570">
        <f t="shared" si="92"/>
        <v>43555.641320334529</v>
      </c>
      <c r="Q158" s="570">
        <f t="shared" si="92"/>
        <v>54083.667712910661</v>
      </c>
      <c r="R158" s="570">
        <f t="shared" si="92"/>
        <v>66454.860377628007</v>
      </c>
      <c r="S158" s="334"/>
    </row>
    <row r="159" spans="1:45">
      <c r="A159" s="677"/>
      <c r="B159" s="677"/>
      <c r="C159" s="45"/>
      <c r="D159" s="415"/>
      <c r="E159" s="415"/>
      <c r="F159" s="415"/>
      <c r="G159" s="415"/>
      <c r="H159" s="415"/>
      <c r="I159" s="415"/>
      <c r="J159" s="557"/>
      <c r="K159" s="415"/>
      <c r="L159" s="415"/>
      <c r="M159" s="415"/>
      <c r="N159" s="415"/>
      <c r="O159" s="415"/>
      <c r="P159" s="415"/>
      <c r="Q159" s="417"/>
      <c r="R159" s="417"/>
    </row>
    <row r="160" spans="1:45" s="279" customFormat="1" ht="13">
      <c r="A160" s="283"/>
      <c r="B160" s="283" t="s">
        <v>134</v>
      </c>
      <c r="C160" s="283"/>
      <c r="D160" s="539"/>
      <c r="E160" s="539"/>
      <c r="F160" s="539"/>
      <c r="G160" s="539"/>
      <c r="H160" s="539"/>
      <c r="I160" s="539"/>
      <c r="J160" s="567"/>
      <c r="K160" s="473" t="s">
        <v>135</v>
      </c>
      <c r="L160" s="473"/>
      <c r="M160" s="473"/>
      <c r="N160" s="540"/>
      <c r="O160" s="473"/>
      <c r="P160" s="540"/>
      <c r="Q160" s="473"/>
      <c r="R160" s="473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  <c r="AN160" s="321"/>
      <c r="AO160" s="321"/>
      <c r="AP160" s="321"/>
      <c r="AQ160" s="321"/>
      <c r="AR160" s="321"/>
      <c r="AS160" s="321"/>
    </row>
    <row r="161" spans="1:45" s="4" customFormat="1">
      <c r="B161" s="4" t="s">
        <v>136</v>
      </c>
      <c r="D161" s="417"/>
      <c r="E161" s="417"/>
      <c r="F161" s="541"/>
      <c r="G161" s="541"/>
      <c r="H161" s="541"/>
      <c r="I161" s="541"/>
      <c r="J161" s="542">
        <v>1491</v>
      </c>
      <c r="K161" s="543">
        <f>J164</f>
        <v>1491</v>
      </c>
      <c r="L161" s="543">
        <f t="shared" ref="L161:O161" si="93">K164</f>
        <v>1491</v>
      </c>
      <c r="M161" s="543">
        <f t="shared" si="93"/>
        <v>1491</v>
      </c>
      <c r="N161" s="543">
        <f t="shared" si="93"/>
        <v>1491</v>
      </c>
      <c r="O161" s="543">
        <f t="shared" si="93"/>
        <v>1491</v>
      </c>
      <c r="P161" s="543">
        <f>O164</f>
        <v>1491</v>
      </c>
      <c r="Q161" s="543">
        <f t="shared" ref="Q161:R161" si="94">P164</f>
        <v>1491</v>
      </c>
      <c r="R161" s="543">
        <f t="shared" si="94"/>
        <v>1491</v>
      </c>
      <c r="S161" s="347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</row>
    <row r="162" spans="1:45" s="4" customFormat="1">
      <c r="B162" s="4" t="s">
        <v>137</v>
      </c>
      <c r="D162" s="417"/>
      <c r="E162" s="417"/>
      <c r="F162" s="417"/>
      <c r="G162" s="417"/>
      <c r="H162" s="417"/>
      <c r="I162" s="417"/>
      <c r="J162" s="544">
        <v>0</v>
      </c>
      <c r="K162" s="545"/>
      <c r="L162" s="545">
        <v>0</v>
      </c>
      <c r="M162" s="545">
        <v>0</v>
      </c>
      <c r="N162" s="545">
        <v>0</v>
      </c>
      <c r="O162" s="545">
        <v>0</v>
      </c>
      <c r="P162" s="545">
        <v>0</v>
      </c>
      <c r="Q162" s="545">
        <v>0</v>
      </c>
      <c r="R162" s="545">
        <v>0</v>
      </c>
      <c r="S162" s="347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</row>
    <row r="163" spans="1:45" s="4" customFormat="1">
      <c r="B163" s="4" t="s">
        <v>138</v>
      </c>
      <c r="D163" s="417"/>
      <c r="E163" s="417"/>
      <c r="F163" s="417"/>
      <c r="G163" s="417"/>
      <c r="H163" s="417"/>
      <c r="I163" s="417"/>
      <c r="J163" s="544">
        <v>0</v>
      </c>
      <c r="K163" s="545">
        <v>0</v>
      </c>
      <c r="L163" s="545">
        <v>0</v>
      </c>
      <c r="M163" s="545">
        <v>0</v>
      </c>
      <c r="N163" s="545">
        <v>0</v>
      </c>
      <c r="O163" s="545">
        <v>0</v>
      </c>
      <c r="P163" s="545">
        <v>0</v>
      </c>
      <c r="Q163" s="545">
        <v>0</v>
      </c>
      <c r="R163" s="545">
        <v>0</v>
      </c>
      <c r="S163" s="348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</row>
    <row r="164" spans="1:45" s="4" customFormat="1">
      <c r="B164" s="4" t="s">
        <v>139</v>
      </c>
      <c r="C164" s="17"/>
      <c r="D164" s="541"/>
      <c r="E164" s="541"/>
      <c r="F164" s="541"/>
      <c r="G164" s="541"/>
      <c r="H164" s="541"/>
      <c r="I164" s="541"/>
      <c r="J164" s="544">
        <f>J161+J162-J163</f>
        <v>1491</v>
      </c>
      <c r="K164" s="545">
        <f>K161+K162-K163</f>
        <v>1491</v>
      </c>
      <c r="L164" s="545">
        <f t="shared" ref="L164:M164" si="95">L161+L162-L163</f>
        <v>1491</v>
      </c>
      <c r="M164" s="545">
        <f t="shared" si="95"/>
        <v>1491</v>
      </c>
      <c r="N164" s="545">
        <f>N161+N162-N163</f>
        <v>1491</v>
      </c>
      <c r="O164" s="545">
        <f t="shared" ref="O164:R164" si="96">O161+O162-O163</f>
        <v>1491</v>
      </c>
      <c r="P164" s="545">
        <f t="shared" si="96"/>
        <v>1491</v>
      </c>
      <c r="Q164" s="545">
        <f t="shared" si="96"/>
        <v>1491</v>
      </c>
      <c r="R164" s="545">
        <f t="shared" si="96"/>
        <v>1491</v>
      </c>
      <c r="S164" s="347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</row>
    <row r="165" spans="1:45" s="4" customFormat="1">
      <c r="B165" s="4" t="s">
        <v>140</v>
      </c>
      <c r="D165" s="546"/>
      <c r="E165" s="547"/>
      <c r="F165" s="547"/>
      <c r="G165" s="547"/>
      <c r="H165" s="547"/>
      <c r="I165" s="547"/>
      <c r="J165" s="548">
        <v>1.4E-2</v>
      </c>
      <c r="K165" s="571">
        <v>1.4E-2</v>
      </c>
      <c r="L165" s="571">
        <v>1.4E-2</v>
      </c>
      <c r="M165" s="571">
        <v>1.4E-2</v>
      </c>
      <c r="N165" s="571">
        <v>1.4E-2</v>
      </c>
      <c r="O165" s="571">
        <v>1.4E-2</v>
      </c>
      <c r="P165" s="571">
        <v>1.4E-2</v>
      </c>
      <c r="Q165" s="571">
        <v>1.4E-2</v>
      </c>
      <c r="R165" s="571">
        <v>1.4E-2</v>
      </c>
      <c r="S165" s="349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</row>
    <row r="166" spans="1:45" s="4" customFormat="1">
      <c r="B166" s="4" t="s">
        <v>141</v>
      </c>
      <c r="D166" s="417"/>
      <c r="E166" s="417"/>
      <c r="F166" s="541"/>
      <c r="G166" s="541"/>
      <c r="H166" s="541"/>
      <c r="I166" s="541"/>
      <c r="J166" s="544">
        <f>J165*J164</f>
        <v>20.873999999999999</v>
      </c>
      <c r="K166" s="545">
        <f t="shared" ref="K166:N166" si="97">K165*K164</f>
        <v>20.873999999999999</v>
      </c>
      <c r="L166" s="545">
        <f t="shared" si="97"/>
        <v>20.873999999999999</v>
      </c>
      <c r="M166" s="545">
        <f t="shared" si="97"/>
        <v>20.873999999999999</v>
      </c>
      <c r="N166" s="545">
        <f t="shared" si="97"/>
        <v>20.873999999999999</v>
      </c>
      <c r="O166" s="545">
        <f>O165*O164</f>
        <v>20.873999999999999</v>
      </c>
      <c r="P166" s="545">
        <f>P165*P164</f>
        <v>20.873999999999999</v>
      </c>
      <c r="Q166" s="545">
        <f t="shared" ref="Q166:R166" si="98">Q165*Q164</f>
        <v>20.873999999999999</v>
      </c>
      <c r="R166" s="545">
        <f t="shared" si="98"/>
        <v>20.873999999999999</v>
      </c>
      <c r="S166" s="347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</row>
    <row r="167" spans="1:45">
      <c r="A167" s="677"/>
      <c r="B167" s="677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</row>
    <row r="168" spans="1:45">
      <c r="A168" s="677"/>
      <c r="B168" s="677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</row>
    <row r="169" spans="1:45" s="4" customFormat="1" ht="13">
      <c r="A169" s="77"/>
      <c r="B169" s="77"/>
      <c r="C169" s="77"/>
      <c r="D169" s="77"/>
      <c r="E169" s="77"/>
      <c r="F169" s="77"/>
      <c r="G169" s="115"/>
      <c r="H169" s="115"/>
      <c r="I169" s="115"/>
      <c r="J169" s="115"/>
      <c r="N169" s="113"/>
      <c r="P169" s="113"/>
      <c r="Q169"/>
      <c r="R169"/>
      <c r="S169" s="150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</row>
    <row r="170" spans="1:45" s="4" customFormat="1">
      <c r="F170" s="73"/>
      <c r="G170" s="73"/>
      <c r="H170" s="73"/>
      <c r="I170" s="73"/>
      <c r="J170" s="39"/>
      <c r="K170" s="39"/>
      <c r="L170" s="39"/>
      <c r="M170" s="39"/>
      <c r="N170" s="39"/>
      <c r="O170" s="39"/>
      <c r="P170" s="39"/>
      <c r="Q170"/>
      <c r="R170"/>
      <c r="S170" s="150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</row>
    <row r="171" spans="1:45" s="4" customFormat="1">
      <c r="F171" s="73"/>
      <c r="G171" s="73"/>
      <c r="H171" s="73"/>
      <c r="I171" s="73"/>
      <c r="J171" s="39"/>
      <c r="K171" s="39"/>
      <c r="L171" s="39"/>
      <c r="M171" s="39"/>
      <c r="N171" s="39"/>
      <c r="O171" s="39"/>
      <c r="P171" s="39"/>
      <c r="Q171"/>
      <c r="R171"/>
      <c r="S171" s="150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</row>
    <row r="172" spans="1:45" s="4" customFormat="1">
      <c r="J172" s="39"/>
      <c r="K172" s="39"/>
      <c r="L172" s="39"/>
      <c r="M172" s="76"/>
      <c r="N172" s="76"/>
      <c r="O172" s="76"/>
      <c r="P172" s="39"/>
      <c r="Q172"/>
      <c r="R172"/>
      <c r="S172" s="150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</row>
    <row r="173" spans="1:45" s="4" customFormat="1">
      <c r="D173" s="74"/>
      <c r="E173" s="9"/>
      <c r="F173" s="9"/>
      <c r="G173" s="5"/>
      <c r="H173" s="5"/>
      <c r="I173" s="5"/>
      <c r="J173" s="5"/>
      <c r="K173" s="5"/>
      <c r="L173" s="5"/>
      <c r="M173" s="5"/>
      <c r="N173" s="5"/>
      <c r="O173" s="114"/>
      <c r="P173" s="114"/>
      <c r="Q173"/>
      <c r="R173"/>
      <c r="S173" s="150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</row>
    <row r="174" spans="1:45" s="4" customFormat="1" ht="13">
      <c r="F174" s="73"/>
      <c r="G174" s="73"/>
      <c r="H174" s="73"/>
      <c r="I174" s="73"/>
      <c r="J174" s="75"/>
      <c r="K174" s="75"/>
      <c r="L174" s="75"/>
      <c r="M174" s="75"/>
      <c r="N174" s="39"/>
      <c r="O174" s="39"/>
      <c r="P174" s="39"/>
      <c r="Q174"/>
      <c r="R174"/>
      <c r="S174" s="150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</row>
    <row r="175" spans="1:45">
      <c r="A175" s="677"/>
      <c r="B175" s="677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</row>
    <row r="176" spans="1:45">
      <c r="A176" s="677"/>
      <c r="B176" s="677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</row>
    <row r="177" spans="1:16">
      <c r="A177" s="677"/>
      <c r="B177" s="677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</row>
    <row r="178" spans="1:16">
      <c r="A178" s="677"/>
      <c r="B178" s="677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</row>
    <row r="179" spans="1:16">
      <c r="A179" s="677"/>
      <c r="B179" s="677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</row>
    <row r="180" spans="1:16">
      <c r="A180" s="677"/>
      <c r="B180" s="677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</row>
    <row r="181" spans="1:16">
      <c r="A181" s="677"/>
      <c r="B181" s="677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</row>
    <row r="182" spans="1:16">
      <c r="A182" s="677"/>
      <c r="B182" s="677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</row>
    <row r="183" spans="1:16">
      <c r="A183" s="677"/>
      <c r="B183" s="677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</row>
    <row r="184" spans="1:16">
      <c r="A184" s="677"/>
      <c r="B184" s="677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</row>
    <row r="185" spans="1:16">
      <c r="A185" s="677"/>
      <c r="B185" s="677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</row>
    <row r="186" spans="1:16">
      <c r="A186" s="677"/>
      <c r="B186" s="677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</row>
    <row r="187" spans="1:16">
      <c r="A187" s="677"/>
      <c r="B187" s="677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</row>
    <row r="188" spans="1:16">
      <c r="A188" s="677"/>
      <c r="B188" s="677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</row>
    <row r="189" spans="1:16">
      <c r="A189" s="677"/>
      <c r="B189" s="677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</row>
    <row r="190" spans="1:16">
      <c r="A190" s="677"/>
      <c r="B190" s="677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</row>
    <row r="191" spans="1:16">
      <c r="A191" s="677"/>
      <c r="B191" s="677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</row>
    <row r="192" spans="1:16">
      <c r="A192" s="677"/>
      <c r="B192" s="677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</row>
    <row r="193" spans="1:16">
      <c r="A193" s="677"/>
      <c r="B193" s="677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</row>
    <row r="194" spans="1:16">
      <c r="A194" s="677"/>
      <c r="B194" s="677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</row>
    <row r="195" spans="1:16">
      <c r="A195" s="677"/>
      <c r="B195" s="677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</row>
    <row r="196" spans="1:16">
      <c r="A196" s="677"/>
      <c r="B196" s="677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</row>
    <row r="197" spans="1:16">
      <c r="A197" s="677"/>
      <c r="B197" s="677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</row>
    <row r="198" spans="1:16">
      <c r="A198" s="677"/>
      <c r="B198" s="677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</row>
    <row r="199" spans="1:16">
      <c r="A199" s="677"/>
      <c r="B199" s="677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</row>
    <row r="200" spans="1:16">
      <c r="A200" s="677"/>
      <c r="B200" s="677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</row>
    <row r="201" spans="1:16">
      <c r="A201" s="677"/>
      <c r="B201" s="677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</row>
    <row r="202" spans="1:16">
      <c r="A202" s="677"/>
      <c r="B202" s="677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</row>
    <row r="203" spans="1:16">
      <c r="A203" s="677"/>
      <c r="B203" s="677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</row>
    <row r="204" spans="1:16">
      <c r="A204" s="677"/>
      <c r="B204" s="677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</row>
    <row r="205" spans="1:16">
      <c r="A205" s="677"/>
      <c r="B205" s="677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</row>
    <row r="206" spans="1:16">
      <c r="A206" s="677"/>
      <c r="B206" s="677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</row>
    <row r="207" spans="1:16">
      <c r="A207" s="677"/>
      <c r="B207" s="677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</row>
    <row r="208" spans="1:16">
      <c r="A208" s="677"/>
      <c r="B208" s="677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</row>
    <row r="209" spans="1:16">
      <c r="A209" s="677"/>
      <c r="B209" s="677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</row>
    <row r="210" spans="1:16">
      <c r="A210" s="677"/>
      <c r="B210" s="677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</row>
    <row r="211" spans="1:16">
      <c r="A211" s="677"/>
      <c r="B211" s="677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</row>
    <row r="212" spans="1:16">
      <c r="A212" s="677"/>
      <c r="B212" s="677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</row>
    <row r="213" spans="1:16">
      <c r="A213" s="677"/>
      <c r="B213" s="677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</row>
    <row r="214" spans="1:16">
      <c r="A214" s="677"/>
      <c r="B214" s="677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</row>
    <row r="215" spans="1:16">
      <c r="A215" s="677"/>
      <c r="B215" s="677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</row>
    <row r="216" spans="1:16">
      <c r="A216" s="677"/>
      <c r="B216" s="677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</row>
    <row r="217" spans="1:16">
      <c r="A217" s="677"/>
      <c r="B217" s="677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</row>
    <row r="218" spans="1:16">
      <c r="A218" s="677"/>
      <c r="B218" s="677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</row>
    <row r="219" spans="1:16">
      <c r="A219" s="677"/>
      <c r="B219" s="677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</row>
    <row r="220" spans="1:16">
      <c r="A220" s="677"/>
      <c r="B220" s="677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</row>
    <row r="221" spans="1:16">
      <c r="A221" s="677"/>
      <c r="B221" s="677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</row>
    <row r="222" spans="1:16">
      <c r="A222" s="677"/>
      <c r="B222" s="677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</row>
    <row r="223" spans="1:16">
      <c r="A223" s="677"/>
      <c r="B223" s="677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</row>
    <row r="224" spans="1:16">
      <c r="A224" s="677"/>
      <c r="B224" s="677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</row>
    <row r="225" spans="1:16">
      <c r="A225" s="677"/>
      <c r="B225" s="677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</row>
    <row r="226" spans="1:16">
      <c r="A226" s="677"/>
      <c r="B226" s="677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</row>
    <row r="227" spans="1:16">
      <c r="A227" s="677"/>
      <c r="B227" s="677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</row>
    <row r="228" spans="1:16">
      <c r="A228" s="677"/>
      <c r="B228" s="677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</row>
    <row r="229" spans="1:16">
      <c r="A229" s="677"/>
      <c r="B229" s="677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</row>
    <row r="230" spans="1:16">
      <c r="A230" s="677"/>
      <c r="B230" s="677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</row>
    <row r="231" spans="1:16">
      <c r="A231" s="677"/>
      <c r="B231" s="677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</row>
    <row r="232" spans="1:16">
      <c r="A232" s="677"/>
      <c r="B232" s="677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</row>
    <row r="233" spans="1:16">
      <c r="A233" s="677"/>
      <c r="B233" s="677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</row>
    <row r="234" spans="1:16">
      <c r="A234" s="677"/>
      <c r="B234" s="677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</row>
    <row r="235" spans="1:16">
      <c r="A235" s="677"/>
      <c r="B235" s="677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</row>
    <row r="236" spans="1:16">
      <c r="A236" s="677"/>
      <c r="B236" s="677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</row>
    <row r="237" spans="1:16">
      <c r="A237" s="677"/>
      <c r="B237" s="677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</row>
    <row r="238" spans="1:16">
      <c r="A238" s="677"/>
      <c r="B238" s="677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</row>
    <row r="239" spans="1:16">
      <c r="A239" s="677"/>
      <c r="B239" s="677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</row>
    <row r="240" spans="1:16">
      <c r="A240" s="677"/>
      <c r="B240" s="677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</row>
    <row r="241" spans="1:16">
      <c r="A241" s="677"/>
      <c r="B241" s="677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</row>
    <row r="242" spans="1:16">
      <c r="A242" s="677"/>
      <c r="B242" s="677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</row>
    <row r="243" spans="1:16">
      <c r="A243" s="677"/>
      <c r="B243" s="677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</row>
    <row r="244" spans="1:16">
      <c r="A244" s="677"/>
      <c r="B244" s="677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</row>
    <row r="245" spans="1:16">
      <c r="A245" s="677"/>
      <c r="B245" s="677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</row>
    <row r="246" spans="1:16">
      <c r="A246" s="677"/>
      <c r="B246" s="677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</row>
    <row r="247" spans="1:16">
      <c r="A247" s="677"/>
      <c r="B247" s="677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</row>
    <row r="248" spans="1:16">
      <c r="A248" s="677"/>
      <c r="B248" s="677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</row>
    <row r="249" spans="1:16">
      <c r="A249" s="677"/>
      <c r="B249" s="677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</row>
    <row r="250" spans="1:16">
      <c r="A250" s="677"/>
      <c r="B250" s="677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</row>
    <row r="251" spans="1:16">
      <c r="A251" s="677"/>
      <c r="B251" s="677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</row>
    <row r="252" spans="1:16">
      <c r="A252" s="677"/>
      <c r="B252" s="677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</row>
    <row r="253" spans="1:16">
      <c r="A253" s="677"/>
      <c r="B253" s="677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</row>
    <row r="254" spans="1:16">
      <c r="A254" s="677"/>
      <c r="B254" s="677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</row>
    <row r="255" spans="1:16">
      <c r="A255" s="677"/>
      <c r="B255" s="677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</row>
    <row r="256" spans="1:16">
      <c r="A256" s="677"/>
      <c r="B256" s="677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</row>
    <row r="257" spans="1:16">
      <c r="A257" s="677"/>
      <c r="B257" s="677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</row>
    <row r="258" spans="1:16">
      <c r="A258" s="677"/>
      <c r="B258" s="677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</row>
    <row r="259" spans="1:16">
      <c r="A259" s="677"/>
      <c r="B259" s="677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</row>
    <row r="260" spans="1:16">
      <c r="A260" s="677"/>
      <c r="B260" s="677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</row>
    <row r="261" spans="1:16">
      <c r="A261" s="677"/>
      <c r="B261" s="677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</row>
    <row r="262" spans="1:16">
      <c r="A262" s="677"/>
      <c r="B262" s="677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</row>
    <row r="263" spans="1:16">
      <c r="A263" s="677"/>
      <c r="B263" s="677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</row>
    <row r="264" spans="1:16">
      <c r="A264" s="677"/>
      <c r="B264" s="677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</row>
    <row r="265" spans="1:16">
      <c r="A265" s="677"/>
      <c r="B265" s="677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</row>
    <row r="266" spans="1:16">
      <c r="A266" s="677"/>
      <c r="B266" s="677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</row>
    <row r="267" spans="1:16">
      <c r="A267" s="677"/>
      <c r="B267" s="677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</row>
    <row r="268" spans="1:16">
      <c r="A268" s="677"/>
      <c r="B268" s="677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</row>
    <row r="269" spans="1:16">
      <c r="A269" s="677"/>
      <c r="B269" s="677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</row>
    <row r="270" spans="1:16">
      <c r="A270" s="677"/>
      <c r="B270" s="677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</row>
    <row r="271" spans="1:16">
      <c r="A271" s="677"/>
      <c r="B271" s="677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</row>
    <row r="272" spans="1:16">
      <c r="A272" s="677"/>
      <c r="B272" s="677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</row>
    <row r="273" spans="1:16">
      <c r="A273" s="677"/>
      <c r="B273" s="677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</row>
    <row r="274" spans="1:16">
      <c r="A274" s="677"/>
      <c r="B274" s="677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</row>
    <row r="275" spans="1:16">
      <c r="A275" s="677"/>
      <c r="B275" s="677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</row>
    <row r="276" spans="1:16">
      <c r="A276" s="677"/>
      <c r="B276" s="677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</row>
    <row r="277" spans="1:16">
      <c r="A277" s="677"/>
      <c r="B277" s="677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</row>
    <row r="278" spans="1:16">
      <c r="A278" s="677"/>
      <c r="B278" s="677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</row>
    <row r="279" spans="1:16">
      <c r="A279" s="677"/>
      <c r="B279" s="677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</row>
    <row r="280" spans="1:16">
      <c r="A280" s="677"/>
      <c r="B280" s="677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</row>
    <row r="281" spans="1:16">
      <c r="A281" s="677"/>
      <c r="B281" s="677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</row>
    <row r="282" spans="1:16">
      <c r="A282" s="677"/>
      <c r="B282" s="677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</row>
    <row r="283" spans="1:16">
      <c r="A283" s="677"/>
      <c r="B283" s="677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</row>
    <row r="284" spans="1:16">
      <c r="A284" s="677"/>
      <c r="B284" s="677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</row>
    <row r="285" spans="1:16">
      <c r="A285" s="677"/>
      <c r="B285" s="677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</row>
    <row r="286" spans="1:16">
      <c r="A286" s="677"/>
      <c r="B286" s="677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</row>
    <row r="287" spans="1:16">
      <c r="A287" s="677"/>
      <c r="B287" s="677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</row>
    <row r="288" spans="1:16">
      <c r="A288" s="677"/>
      <c r="B288" s="677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</row>
    <row r="289" spans="1:16">
      <c r="A289" s="677"/>
      <c r="B289" s="677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</row>
    <row r="290" spans="1:16">
      <c r="A290" s="677"/>
      <c r="B290" s="677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</row>
    <row r="291" spans="1:16">
      <c r="A291" s="677"/>
      <c r="B291" s="677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</row>
    <row r="292" spans="1:16">
      <c r="A292" s="677"/>
      <c r="B292" s="677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</row>
    <row r="293" spans="1:16">
      <c r="A293" s="677"/>
      <c r="B293" s="677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</row>
    <row r="294" spans="1:16">
      <c r="A294" s="677"/>
      <c r="B294" s="677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</row>
    <row r="295" spans="1:16">
      <c r="A295" s="677"/>
      <c r="B295" s="677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</row>
    <row r="296" spans="1:16">
      <c r="A296" s="677"/>
      <c r="B296" s="677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</row>
    <row r="297" spans="1:16">
      <c r="A297" s="677"/>
      <c r="B297" s="677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</row>
    <row r="298" spans="1:16">
      <c r="A298" s="677"/>
      <c r="B298" s="677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</row>
    <row r="299" spans="1:16">
      <c r="A299" s="677"/>
      <c r="B299" s="677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</row>
    <row r="300" spans="1:16">
      <c r="A300" s="677"/>
      <c r="B300" s="677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</row>
    <row r="301" spans="1:16">
      <c r="A301" s="677"/>
      <c r="B301" s="677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</row>
    <row r="302" spans="1:16">
      <c r="A302" s="677"/>
      <c r="B302" s="677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</row>
    <row r="303" spans="1:16">
      <c r="A303" s="677"/>
      <c r="B303" s="677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</row>
  </sheetData>
  <mergeCells count="159">
    <mergeCell ref="A301:B301"/>
    <mergeCell ref="A302:B302"/>
    <mergeCell ref="A303:B303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59:B159"/>
    <mergeCell ref="A154:B154"/>
    <mergeCell ref="A140:B140"/>
    <mergeCell ref="A141:B141"/>
    <mergeCell ref="A167:B167"/>
    <mergeCell ref="A168:B168"/>
    <mergeCell ref="A181:B181"/>
    <mergeCell ref="A101:B101"/>
    <mergeCell ref="A110:B110"/>
    <mergeCell ref="A112:B112"/>
    <mergeCell ref="A131:B131"/>
    <mergeCell ref="A133:B133"/>
    <mergeCell ref="A94:B94"/>
    <mergeCell ref="A5:B5"/>
    <mergeCell ref="A7:B7"/>
    <mergeCell ref="A8:B8"/>
    <mergeCell ref="A10:B10"/>
    <mergeCell ref="A68:B68"/>
    <mergeCell ref="A71:B71"/>
    <mergeCell ref="A74:B74"/>
    <mergeCell ref="A86:B86"/>
    <mergeCell ref="A89:B89"/>
    <mergeCell ref="A92:B92"/>
    <mergeCell ref="A80:B80"/>
    <mergeCell ref="A83:B83"/>
    <mergeCell ref="A34:B34"/>
    <mergeCell ref="A40:B40"/>
    <mergeCell ref="A55:B55"/>
    <mergeCell ref="A57:B57"/>
    <mergeCell ref="A63:B63"/>
    <mergeCell ref="A65:B65"/>
  </mergeCells>
  <pageMargins left="0.25" right="0.25" top="0.75" bottom="0.75" header="0.3" footer="0.3"/>
  <pageSetup paperSize="9" orientation="landscape" r:id="rId1"/>
  <ignoredErrors>
    <ignoredError sqref="J135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autoPageBreaks="0" fitToPage="1"/>
  </sheetPr>
  <dimension ref="A1:BP53"/>
  <sheetViews>
    <sheetView showGridLines="0" topLeftCell="B1" zoomScaleNormal="120" workbookViewId="0">
      <selection activeCell="K4" sqref="K4"/>
    </sheetView>
  </sheetViews>
  <sheetFormatPr defaultRowHeight="12.75" customHeight="1"/>
  <cols>
    <col min="1" max="1" width="1.54296875" style="4" customWidth="1"/>
    <col min="2" max="2" width="39.453125" style="4" customWidth="1"/>
    <col min="3" max="3" width="16" style="4" customWidth="1"/>
    <col min="4" max="4" width="13" style="4" customWidth="1"/>
    <col min="5" max="5" width="15.26953125" style="4" customWidth="1"/>
    <col min="6" max="7" width="10.54296875" style="4" customWidth="1"/>
    <col min="8" max="8" width="11.26953125" style="4" bestFit="1" customWidth="1"/>
    <col min="9" max="10" width="10.54296875" style="4" customWidth="1"/>
    <col min="11" max="11" width="11.453125" style="3" customWidth="1"/>
    <col min="12" max="13" width="10.54296875" style="4" bestFit="1" customWidth="1"/>
    <col min="14" max="14" width="10.453125" style="4" customWidth="1"/>
    <col min="15" max="15" width="11.453125" style="4" customWidth="1"/>
    <col min="16" max="16" width="11" style="4" bestFit="1" customWidth="1"/>
    <col min="17" max="18" width="11" style="4" customWidth="1"/>
    <col min="19" max="261" width="9" style="4"/>
    <col min="262" max="262" width="1.54296875" style="4" customWidth="1"/>
    <col min="263" max="263" width="40.54296875" style="4" customWidth="1"/>
    <col min="264" max="268" width="10.54296875" style="4" customWidth="1"/>
    <col min="269" max="269" width="11.453125" style="4" customWidth="1"/>
    <col min="270" max="271" width="12" style="4" customWidth="1"/>
    <col min="272" max="273" width="9" style="4"/>
    <col min="274" max="274" width="11" style="4" bestFit="1" customWidth="1"/>
    <col min="275" max="517" width="9" style="4"/>
    <col min="518" max="518" width="1.54296875" style="4" customWidth="1"/>
    <col min="519" max="519" width="40.54296875" style="4" customWidth="1"/>
    <col min="520" max="524" width="10.54296875" style="4" customWidth="1"/>
    <col min="525" max="525" width="11.453125" style="4" customWidth="1"/>
    <col min="526" max="527" width="12" style="4" customWidth="1"/>
    <col min="528" max="529" width="9" style="4"/>
    <col min="530" max="530" width="11" style="4" bestFit="1" customWidth="1"/>
    <col min="531" max="773" width="9" style="4"/>
    <col min="774" max="774" width="1.54296875" style="4" customWidth="1"/>
    <col min="775" max="775" width="40.54296875" style="4" customWidth="1"/>
    <col min="776" max="780" width="10.54296875" style="4" customWidth="1"/>
    <col min="781" max="781" width="11.453125" style="4" customWidth="1"/>
    <col min="782" max="783" width="12" style="4" customWidth="1"/>
    <col min="784" max="785" width="9" style="4"/>
    <col min="786" max="786" width="11" style="4" bestFit="1" customWidth="1"/>
    <col min="787" max="1029" width="9" style="4"/>
    <col min="1030" max="1030" width="1.54296875" style="4" customWidth="1"/>
    <col min="1031" max="1031" width="40.54296875" style="4" customWidth="1"/>
    <col min="1032" max="1036" width="10.54296875" style="4" customWidth="1"/>
    <col min="1037" max="1037" width="11.453125" style="4" customWidth="1"/>
    <col min="1038" max="1039" width="12" style="4" customWidth="1"/>
    <col min="1040" max="1041" width="9" style="4"/>
    <col min="1042" max="1042" width="11" style="4" bestFit="1" customWidth="1"/>
    <col min="1043" max="1285" width="9" style="4"/>
    <col min="1286" max="1286" width="1.54296875" style="4" customWidth="1"/>
    <col min="1287" max="1287" width="40.54296875" style="4" customWidth="1"/>
    <col min="1288" max="1292" width="10.54296875" style="4" customWidth="1"/>
    <col min="1293" max="1293" width="11.453125" style="4" customWidth="1"/>
    <col min="1294" max="1295" width="12" style="4" customWidth="1"/>
    <col min="1296" max="1297" width="9" style="4"/>
    <col min="1298" max="1298" width="11" style="4" bestFit="1" customWidth="1"/>
    <col min="1299" max="1541" width="9" style="4"/>
    <col min="1542" max="1542" width="1.54296875" style="4" customWidth="1"/>
    <col min="1543" max="1543" width="40.54296875" style="4" customWidth="1"/>
    <col min="1544" max="1548" width="10.54296875" style="4" customWidth="1"/>
    <col min="1549" max="1549" width="11.453125" style="4" customWidth="1"/>
    <col min="1550" max="1551" width="12" style="4" customWidth="1"/>
    <col min="1552" max="1553" width="9" style="4"/>
    <col min="1554" max="1554" width="11" style="4" bestFit="1" customWidth="1"/>
    <col min="1555" max="1797" width="9" style="4"/>
    <col min="1798" max="1798" width="1.54296875" style="4" customWidth="1"/>
    <col min="1799" max="1799" width="40.54296875" style="4" customWidth="1"/>
    <col min="1800" max="1804" width="10.54296875" style="4" customWidth="1"/>
    <col min="1805" max="1805" width="11.453125" style="4" customWidth="1"/>
    <col min="1806" max="1807" width="12" style="4" customWidth="1"/>
    <col min="1808" max="1809" width="9" style="4"/>
    <col min="1810" max="1810" width="11" style="4" bestFit="1" customWidth="1"/>
    <col min="1811" max="2053" width="9" style="4"/>
    <col min="2054" max="2054" width="1.54296875" style="4" customWidth="1"/>
    <col min="2055" max="2055" width="40.54296875" style="4" customWidth="1"/>
    <col min="2056" max="2060" width="10.54296875" style="4" customWidth="1"/>
    <col min="2061" max="2061" width="11.453125" style="4" customWidth="1"/>
    <col min="2062" max="2063" width="12" style="4" customWidth="1"/>
    <col min="2064" max="2065" width="9" style="4"/>
    <col min="2066" max="2066" width="11" style="4" bestFit="1" customWidth="1"/>
    <col min="2067" max="2309" width="9" style="4"/>
    <col min="2310" max="2310" width="1.54296875" style="4" customWidth="1"/>
    <col min="2311" max="2311" width="40.54296875" style="4" customWidth="1"/>
    <col min="2312" max="2316" width="10.54296875" style="4" customWidth="1"/>
    <col min="2317" max="2317" width="11.453125" style="4" customWidth="1"/>
    <col min="2318" max="2319" width="12" style="4" customWidth="1"/>
    <col min="2320" max="2321" width="9" style="4"/>
    <col min="2322" max="2322" width="11" style="4" bestFit="1" customWidth="1"/>
    <col min="2323" max="2565" width="9" style="4"/>
    <col min="2566" max="2566" width="1.54296875" style="4" customWidth="1"/>
    <col min="2567" max="2567" width="40.54296875" style="4" customWidth="1"/>
    <col min="2568" max="2572" width="10.54296875" style="4" customWidth="1"/>
    <col min="2573" max="2573" width="11.453125" style="4" customWidth="1"/>
    <col min="2574" max="2575" width="12" style="4" customWidth="1"/>
    <col min="2576" max="2577" width="9" style="4"/>
    <col min="2578" max="2578" width="11" style="4" bestFit="1" customWidth="1"/>
    <col min="2579" max="2821" width="9" style="4"/>
    <col min="2822" max="2822" width="1.54296875" style="4" customWidth="1"/>
    <col min="2823" max="2823" width="40.54296875" style="4" customWidth="1"/>
    <col min="2824" max="2828" width="10.54296875" style="4" customWidth="1"/>
    <col min="2829" max="2829" width="11.453125" style="4" customWidth="1"/>
    <col min="2830" max="2831" width="12" style="4" customWidth="1"/>
    <col min="2832" max="2833" width="9" style="4"/>
    <col min="2834" max="2834" width="11" style="4" bestFit="1" customWidth="1"/>
    <col min="2835" max="3077" width="9" style="4"/>
    <col min="3078" max="3078" width="1.54296875" style="4" customWidth="1"/>
    <col min="3079" max="3079" width="40.54296875" style="4" customWidth="1"/>
    <col min="3080" max="3084" width="10.54296875" style="4" customWidth="1"/>
    <col min="3085" max="3085" width="11.453125" style="4" customWidth="1"/>
    <col min="3086" max="3087" width="12" style="4" customWidth="1"/>
    <col min="3088" max="3089" width="9" style="4"/>
    <col min="3090" max="3090" width="11" style="4" bestFit="1" customWidth="1"/>
    <col min="3091" max="3333" width="9" style="4"/>
    <col min="3334" max="3334" width="1.54296875" style="4" customWidth="1"/>
    <col min="3335" max="3335" width="40.54296875" style="4" customWidth="1"/>
    <col min="3336" max="3340" width="10.54296875" style="4" customWidth="1"/>
    <col min="3341" max="3341" width="11.453125" style="4" customWidth="1"/>
    <col min="3342" max="3343" width="12" style="4" customWidth="1"/>
    <col min="3344" max="3345" width="9" style="4"/>
    <col min="3346" max="3346" width="11" style="4" bestFit="1" customWidth="1"/>
    <col min="3347" max="3589" width="9" style="4"/>
    <col min="3590" max="3590" width="1.54296875" style="4" customWidth="1"/>
    <col min="3591" max="3591" width="40.54296875" style="4" customWidth="1"/>
    <col min="3592" max="3596" width="10.54296875" style="4" customWidth="1"/>
    <col min="3597" max="3597" width="11.453125" style="4" customWidth="1"/>
    <col min="3598" max="3599" width="12" style="4" customWidth="1"/>
    <col min="3600" max="3601" width="9" style="4"/>
    <col min="3602" max="3602" width="11" style="4" bestFit="1" customWidth="1"/>
    <col min="3603" max="3845" width="9" style="4"/>
    <col min="3846" max="3846" width="1.54296875" style="4" customWidth="1"/>
    <col min="3847" max="3847" width="40.54296875" style="4" customWidth="1"/>
    <col min="3848" max="3852" width="10.54296875" style="4" customWidth="1"/>
    <col min="3853" max="3853" width="11.453125" style="4" customWidth="1"/>
    <col min="3854" max="3855" width="12" style="4" customWidth="1"/>
    <col min="3856" max="3857" width="9" style="4"/>
    <col min="3858" max="3858" width="11" style="4" bestFit="1" customWidth="1"/>
    <col min="3859" max="4101" width="9" style="4"/>
    <col min="4102" max="4102" width="1.54296875" style="4" customWidth="1"/>
    <col min="4103" max="4103" width="40.54296875" style="4" customWidth="1"/>
    <col min="4104" max="4108" width="10.54296875" style="4" customWidth="1"/>
    <col min="4109" max="4109" width="11.453125" style="4" customWidth="1"/>
    <col min="4110" max="4111" width="12" style="4" customWidth="1"/>
    <col min="4112" max="4113" width="9" style="4"/>
    <col min="4114" max="4114" width="11" style="4" bestFit="1" customWidth="1"/>
    <col min="4115" max="4357" width="9" style="4"/>
    <col min="4358" max="4358" width="1.54296875" style="4" customWidth="1"/>
    <col min="4359" max="4359" width="40.54296875" style="4" customWidth="1"/>
    <col min="4360" max="4364" width="10.54296875" style="4" customWidth="1"/>
    <col min="4365" max="4365" width="11.453125" style="4" customWidth="1"/>
    <col min="4366" max="4367" width="12" style="4" customWidth="1"/>
    <col min="4368" max="4369" width="9" style="4"/>
    <col min="4370" max="4370" width="11" style="4" bestFit="1" customWidth="1"/>
    <col min="4371" max="4613" width="9" style="4"/>
    <col min="4614" max="4614" width="1.54296875" style="4" customWidth="1"/>
    <col min="4615" max="4615" width="40.54296875" style="4" customWidth="1"/>
    <col min="4616" max="4620" width="10.54296875" style="4" customWidth="1"/>
    <col min="4621" max="4621" width="11.453125" style="4" customWidth="1"/>
    <col min="4622" max="4623" width="12" style="4" customWidth="1"/>
    <col min="4624" max="4625" width="9" style="4"/>
    <col min="4626" max="4626" width="11" style="4" bestFit="1" customWidth="1"/>
    <col min="4627" max="4869" width="9" style="4"/>
    <col min="4870" max="4870" width="1.54296875" style="4" customWidth="1"/>
    <col min="4871" max="4871" width="40.54296875" style="4" customWidth="1"/>
    <col min="4872" max="4876" width="10.54296875" style="4" customWidth="1"/>
    <col min="4877" max="4877" width="11.453125" style="4" customWidth="1"/>
    <col min="4878" max="4879" width="12" style="4" customWidth="1"/>
    <col min="4880" max="4881" width="9" style="4"/>
    <col min="4882" max="4882" width="11" style="4" bestFit="1" customWidth="1"/>
    <col min="4883" max="5125" width="9" style="4"/>
    <col min="5126" max="5126" width="1.54296875" style="4" customWidth="1"/>
    <col min="5127" max="5127" width="40.54296875" style="4" customWidth="1"/>
    <col min="5128" max="5132" width="10.54296875" style="4" customWidth="1"/>
    <col min="5133" max="5133" width="11.453125" style="4" customWidth="1"/>
    <col min="5134" max="5135" width="12" style="4" customWidth="1"/>
    <col min="5136" max="5137" width="9" style="4"/>
    <col min="5138" max="5138" width="11" style="4" bestFit="1" customWidth="1"/>
    <col min="5139" max="5381" width="9" style="4"/>
    <col min="5382" max="5382" width="1.54296875" style="4" customWidth="1"/>
    <col min="5383" max="5383" width="40.54296875" style="4" customWidth="1"/>
    <col min="5384" max="5388" width="10.54296875" style="4" customWidth="1"/>
    <col min="5389" max="5389" width="11.453125" style="4" customWidth="1"/>
    <col min="5390" max="5391" width="12" style="4" customWidth="1"/>
    <col min="5392" max="5393" width="9" style="4"/>
    <col min="5394" max="5394" width="11" style="4" bestFit="1" customWidth="1"/>
    <col min="5395" max="5637" width="9" style="4"/>
    <col min="5638" max="5638" width="1.54296875" style="4" customWidth="1"/>
    <col min="5639" max="5639" width="40.54296875" style="4" customWidth="1"/>
    <col min="5640" max="5644" width="10.54296875" style="4" customWidth="1"/>
    <col min="5645" max="5645" width="11.453125" style="4" customWidth="1"/>
    <col min="5646" max="5647" width="12" style="4" customWidth="1"/>
    <col min="5648" max="5649" width="9" style="4"/>
    <col min="5650" max="5650" width="11" style="4" bestFit="1" customWidth="1"/>
    <col min="5651" max="5893" width="9" style="4"/>
    <col min="5894" max="5894" width="1.54296875" style="4" customWidth="1"/>
    <col min="5895" max="5895" width="40.54296875" style="4" customWidth="1"/>
    <col min="5896" max="5900" width="10.54296875" style="4" customWidth="1"/>
    <col min="5901" max="5901" width="11.453125" style="4" customWidth="1"/>
    <col min="5902" max="5903" width="12" style="4" customWidth="1"/>
    <col min="5904" max="5905" width="9" style="4"/>
    <col min="5906" max="5906" width="11" style="4" bestFit="1" customWidth="1"/>
    <col min="5907" max="6149" width="9" style="4"/>
    <col min="6150" max="6150" width="1.54296875" style="4" customWidth="1"/>
    <col min="6151" max="6151" width="40.54296875" style="4" customWidth="1"/>
    <col min="6152" max="6156" width="10.54296875" style="4" customWidth="1"/>
    <col min="6157" max="6157" width="11.453125" style="4" customWidth="1"/>
    <col min="6158" max="6159" width="12" style="4" customWidth="1"/>
    <col min="6160" max="6161" width="9" style="4"/>
    <col min="6162" max="6162" width="11" style="4" bestFit="1" customWidth="1"/>
    <col min="6163" max="6405" width="9" style="4"/>
    <col min="6406" max="6406" width="1.54296875" style="4" customWidth="1"/>
    <col min="6407" max="6407" width="40.54296875" style="4" customWidth="1"/>
    <col min="6408" max="6412" width="10.54296875" style="4" customWidth="1"/>
    <col min="6413" max="6413" width="11.453125" style="4" customWidth="1"/>
    <col min="6414" max="6415" width="12" style="4" customWidth="1"/>
    <col min="6416" max="6417" width="9" style="4"/>
    <col min="6418" max="6418" width="11" style="4" bestFit="1" customWidth="1"/>
    <col min="6419" max="6661" width="9" style="4"/>
    <col min="6662" max="6662" width="1.54296875" style="4" customWidth="1"/>
    <col min="6663" max="6663" width="40.54296875" style="4" customWidth="1"/>
    <col min="6664" max="6668" width="10.54296875" style="4" customWidth="1"/>
    <col min="6669" max="6669" width="11.453125" style="4" customWidth="1"/>
    <col min="6670" max="6671" width="12" style="4" customWidth="1"/>
    <col min="6672" max="6673" width="9" style="4"/>
    <col min="6674" max="6674" width="11" style="4" bestFit="1" customWidth="1"/>
    <col min="6675" max="6917" width="9" style="4"/>
    <col min="6918" max="6918" width="1.54296875" style="4" customWidth="1"/>
    <col min="6919" max="6919" width="40.54296875" style="4" customWidth="1"/>
    <col min="6920" max="6924" width="10.54296875" style="4" customWidth="1"/>
    <col min="6925" max="6925" width="11.453125" style="4" customWidth="1"/>
    <col min="6926" max="6927" width="12" style="4" customWidth="1"/>
    <col min="6928" max="6929" width="9" style="4"/>
    <col min="6930" max="6930" width="11" style="4" bestFit="1" customWidth="1"/>
    <col min="6931" max="7173" width="9" style="4"/>
    <col min="7174" max="7174" width="1.54296875" style="4" customWidth="1"/>
    <col min="7175" max="7175" width="40.54296875" style="4" customWidth="1"/>
    <col min="7176" max="7180" width="10.54296875" style="4" customWidth="1"/>
    <col min="7181" max="7181" width="11.453125" style="4" customWidth="1"/>
    <col min="7182" max="7183" width="12" style="4" customWidth="1"/>
    <col min="7184" max="7185" width="9" style="4"/>
    <col min="7186" max="7186" width="11" style="4" bestFit="1" customWidth="1"/>
    <col min="7187" max="7429" width="9" style="4"/>
    <col min="7430" max="7430" width="1.54296875" style="4" customWidth="1"/>
    <col min="7431" max="7431" width="40.54296875" style="4" customWidth="1"/>
    <col min="7432" max="7436" width="10.54296875" style="4" customWidth="1"/>
    <col min="7437" max="7437" width="11.453125" style="4" customWidth="1"/>
    <col min="7438" max="7439" width="12" style="4" customWidth="1"/>
    <col min="7440" max="7441" width="9" style="4"/>
    <col min="7442" max="7442" width="11" style="4" bestFit="1" customWidth="1"/>
    <col min="7443" max="7685" width="9" style="4"/>
    <col min="7686" max="7686" width="1.54296875" style="4" customWidth="1"/>
    <col min="7687" max="7687" width="40.54296875" style="4" customWidth="1"/>
    <col min="7688" max="7692" width="10.54296875" style="4" customWidth="1"/>
    <col min="7693" max="7693" width="11.453125" style="4" customWidth="1"/>
    <col min="7694" max="7695" width="12" style="4" customWidth="1"/>
    <col min="7696" max="7697" width="9" style="4"/>
    <col min="7698" max="7698" width="11" style="4" bestFit="1" customWidth="1"/>
    <col min="7699" max="7941" width="9" style="4"/>
    <col min="7942" max="7942" width="1.54296875" style="4" customWidth="1"/>
    <col min="7943" max="7943" width="40.54296875" style="4" customWidth="1"/>
    <col min="7944" max="7948" width="10.54296875" style="4" customWidth="1"/>
    <col min="7949" max="7949" width="11.453125" style="4" customWidth="1"/>
    <col min="7950" max="7951" width="12" style="4" customWidth="1"/>
    <col min="7952" max="7953" width="9" style="4"/>
    <col min="7954" max="7954" width="11" style="4" bestFit="1" customWidth="1"/>
    <col min="7955" max="8197" width="9" style="4"/>
    <col min="8198" max="8198" width="1.54296875" style="4" customWidth="1"/>
    <col min="8199" max="8199" width="40.54296875" style="4" customWidth="1"/>
    <col min="8200" max="8204" width="10.54296875" style="4" customWidth="1"/>
    <col min="8205" max="8205" width="11.453125" style="4" customWidth="1"/>
    <col min="8206" max="8207" width="12" style="4" customWidth="1"/>
    <col min="8208" max="8209" width="9" style="4"/>
    <col min="8210" max="8210" width="11" style="4" bestFit="1" customWidth="1"/>
    <col min="8211" max="8453" width="9" style="4"/>
    <col min="8454" max="8454" width="1.54296875" style="4" customWidth="1"/>
    <col min="8455" max="8455" width="40.54296875" style="4" customWidth="1"/>
    <col min="8456" max="8460" width="10.54296875" style="4" customWidth="1"/>
    <col min="8461" max="8461" width="11.453125" style="4" customWidth="1"/>
    <col min="8462" max="8463" width="12" style="4" customWidth="1"/>
    <col min="8464" max="8465" width="9" style="4"/>
    <col min="8466" max="8466" width="11" style="4" bestFit="1" customWidth="1"/>
    <col min="8467" max="8709" width="9" style="4"/>
    <col min="8710" max="8710" width="1.54296875" style="4" customWidth="1"/>
    <col min="8711" max="8711" width="40.54296875" style="4" customWidth="1"/>
    <col min="8712" max="8716" width="10.54296875" style="4" customWidth="1"/>
    <col min="8717" max="8717" width="11.453125" style="4" customWidth="1"/>
    <col min="8718" max="8719" width="12" style="4" customWidth="1"/>
    <col min="8720" max="8721" width="9" style="4"/>
    <col min="8722" max="8722" width="11" style="4" bestFit="1" customWidth="1"/>
    <col min="8723" max="8965" width="9" style="4"/>
    <col min="8966" max="8966" width="1.54296875" style="4" customWidth="1"/>
    <col min="8967" max="8967" width="40.54296875" style="4" customWidth="1"/>
    <col min="8968" max="8972" width="10.54296875" style="4" customWidth="1"/>
    <col min="8973" max="8973" width="11.453125" style="4" customWidth="1"/>
    <col min="8974" max="8975" width="12" style="4" customWidth="1"/>
    <col min="8976" max="8977" width="9" style="4"/>
    <col min="8978" max="8978" width="11" style="4" bestFit="1" customWidth="1"/>
    <col min="8979" max="9221" width="9" style="4"/>
    <col min="9222" max="9222" width="1.54296875" style="4" customWidth="1"/>
    <col min="9223" max="9223" width="40.54296875" style="4" customWidth="1"/>
    <col min="9224" max="9228" width="10.54296875" style="4" customWidth="1"/>
    <col min="9229" max="9229" width="11.453125" style="4" customWidth="1"/>
    <col min="9230" max="9231" width="12" style="4" customWidth="1"/>
    <col min="9232" max="9233" width="9" style="4"/>
    <col min="9234" max="9234" width="11" style="4" bestFit="1" customWidth="1"/>
    <col min="9235" max="9477" width="9" style="4"/>
    <col min="9478" max="9478" width="1.54296875" style="4" customWidth="1"/>
    <col min="9479" max="9479" width="40.54296875" style="4" customWidth="1"/>
    <col min="9480" max="9484" width="10.54296875" style="4" customWidth="1"/>
    <col min="9485" max="9485" width="11.453125" style="4" customWidth="1"/>
    <col min="9486" max="9487" width="12" style="4" customWidth="1"/>
    <col min="9488" max="9489" width="9" style="4"/>
    <col min="9490" max="9490" width="11" style="4" bestFit="1" customWidth="1"/>
    <col min="9491" max="9733" width="9" style="4"/>
    <col min="9734" max="9734" width="1.54296875" style="4" customWidth="1"/>
    <col min="9735" max="9735" width="40.54296875" style="4" customWidth="1"/>
    <col min="9736" max="9740" width="10.54296875" style="4" customWidth="1"/>
    <col min="9741" max="9741" width="11.453125" style="4" customWidth="1"/>
    <col min="9742" max="9743" width="12" style="4" customWidth="1"/>
    <col min="9744" max="9745" width="9" style="4"/>
    <col min="9746" max="9746" width="11" style="4" bestFit="1" customWidth="1"/>
    <col min="9747" max="9989" width="9" style="4"/>
    <col min="9990" max="9990" width="1.54296875" style="4" customWidth="1"/>
    <col min="9991" max="9991" width="40.54296875" style="4" customWidth="1"/>
    <col min="9992" max="9996" width="10.54296875" style="4" customWidth="1"/>
    <col min="9997" max="9997" width="11.453125" style="4" customWidth="1"/>
    <col min="9998" max="9999" width="12" style="4" customWidth="1"/>
    <col min="10000" max="10001" width="9" style="4"/>
    <col min="10002" max="10002" width="11" style="4" bestFit="1" customWidth="1"/>
    <col min="10003" max="10245" width="9" style="4"/>
    <col min="10246" max="10246" width="1.54296875" style="4" customWidth="1"/>
    <col min="10247" max="10247" width="40.54296875" style="4" customWidth="1"/>
    <col min="10248" max="10252" width="10.54296875" style="4" customWidth="1"/>
    <col min="10253" max="10253" width="11.453125" style="4" customWidth="1"/>
    <col min="10254" max="10255" width="12" style="4" customWidth="1"/>
    <col min="10256" max="10257" width="9" style="4"/>
    <col min="10258" max="10258" width="11" style="4" bestFit="1" customWidth="1"/>
    <col min="10259" max="10501" width="9" style="4"/>
    <col min="10502" max="10502" width="1.54296875" style="4" customWidth="1"/>
    <col min="10503" max="10503" width="40.54296875" style="4" customWidth="1"/>
    <col min="10504" max="10508" width="10.54296875" style="4" customWidth="1"/>
    <col min="10509" max="10509" width="11.453125" style="4" customWidth="1"/>
    <col min="10510" max="10511" width="12" style="4" customWidth="1"/>
    <col min="10512" max="10513" width="9" style="4"/>
    <col min="10514" max="10514" width="11" style="4" bestFit="1" customWidth="1"/>
    <col min="10515" max="10757" width="9" style="4"/>
    <col min="10758" max="10758" width="1.54296875" style="4" customWidth="1"/>
    <col min="10759" max="10759" width="40.54296875" style="4" customWidth="1"/>
    <col min="10760" max="10764" width="10.54296875" style="4" customWidth="1"/>
    <col min="10765" max="10765" width="11.453125" style="4" customWidth="1"/>
    <col min="10766" max="10767" width="12" style="4" customWidth="1"/>
    <col min="10768" max="10769" width="9" style="4"/>
    <col min="10770" max="10770" width="11" style="4" bestFit="1" customWidth="1"/>
    <col min="10771" max="11013" width="9" style="4"/>
    <col min="11014" max="11014" width="1.54296875" style="4" customWidth="1"/>
    <col min="11015" max="11015" width="40.54296875" style="4" customWidth="1"/>
    <col min="11016" max="11020" width="10.54296875" style="4" customWidth="1"/>
    <col min="11021" max="11021" width="11.453125" style="4" customWidth="1"/>
    <col min="11022" max="11023" width="12" style="4" customWidth="1"/>
    <col min="11024" max="11025" width="9" style="4"/>
    <col min="11026" max="11026" width="11" style="4" bestFit="1" customWidth="1"/>
    <col min="11027" max="11269" width="9" style="4"/>
    <col min="11270" max="11270" width="1.54296875" style="4" customWidth="1"/>
    <col min="11271" max="11271" width="40.54296875" style="4" customWidth="1"/>
    <col min="11272" max="11276" width="10.54296875" style="4" customWidth="1"/>
    <col min="11277" max="11277" width="11.453125" style="4" customWidth="1"/>
    <col min="11278" max="11279" width="12" style="4" customWidth="1"/>
    <col min="11280" max="11281" width="9" style="4"/>
    <col min="11282" max="11282" width="11" style="4" bestFit="1" customWidth="1"/>
    <col min="11283" max="11525" width="9" style="4"/>
    <col min="11526" max="11526" width="1.54296875" style="4" customWidth="1"/>
    <col min="11527" max="11527" width="40.54296875" style="4" customWidth="1"/>
    <col min="11528" max="11532" width="10.54296875" style="4" customWidth="1"/>
    <col min="11533" max="11533" width="11.453125" style="4" customWidth="1"/>
    <col min="11534" max="11535" width="12" style="4" customWidth="1"/>
    <col min="11536" max="11537" width="9" style="4"/>
    <col min="11538" max="11538" width="11" style="4" bestFit="1" customWidth="1"/>
    <col min="11539" max="11781" width="9" style="4"/>
    <col min="11782" max="11782" width="1.54296875" style="4" customWidth="1"/>
    <col min="11783" max="11783" width="40.54296875" style="4" customWidth="1"/>
    <col min="11784" max="11788" width="10.54296875" style="4" customWidth="1"/>
    <col min="11789" max="11789" width="11.453125" style="4" customWidth="1"/>
    <col min="11790" max="11791" width="12" style="4" customWidth="1"/>
    <col min="11792" max="11793" width="9" style="4"/>
    <col min="11794" max="11794" width="11" style="4" bestFit="1" customWidth="1"/>
    <col min="11795" max="12037" width="9" style="4"/>
    <col min="12038" max="12038" width="1.54296875" style="4" customWidth="1"/>
    <col min="12039" max="12039" width="40.54296875" style="4" customWidth="1"/>
    <col min="12040" max="12044" width="10.54296875" style="4" customWidth="1"/>
    <col min="12045" max="12045" width="11.453125" style="4" customWidth="1"/>
    <col min="12046" max="12047" width="12" style="4" customWidth="1"/>
    <col min="12048" max="12049" width="9" style="4"/>
    <col min="12050" max="12050" width="11" style="4" bestFit="1" customWidth="1"/>
    <col min="12051" max="12293" width="9" style="4"/>
    <col min="12294" max="12294" width="1.54296875" style="4" customWidth="1"/>
    <col min="12295" max="12295" width="40.54296875" style="4" customWidth="1"/>
    <col min="12296" max="12300" width="10.54296875" style="4" customWidth="1"/>
    <col min="12301" max="12301" width="11.453125" style="4" customWidth="1"/>
    <col min="12302" max="12303" width="12" style="4" customWidth="1"/>
    <col min="12304" max="12305" width="9" style="4"/>
    <col min="12306" max="12306" width="11" style="4" bestFit="1" customWidth="1"/>
    <col min="12307" max="12549" width="9" style="4"/>
    <col min="12550" max="12550" width="1.54296875" style="4" customWidth="1"/>
    <col min="12551" max="12551" width="40.54296875" style="4" customWidth="1"/>
    <col min="12552" max="12556" width="10.54296875" style="4" customWidth="1"/>
    <col min="12557" max="12557" width="11.453125" style="4" customWidth="1"/>
    <col min="12558" max="12559" width="12" style="4" customWidth="1"/>
    <col min="12560" max="12561" width="9" style="4"/>
    <col min="12562" max="12562" width="11" style="4" bestFit="1" customWidth="1"/>
    <col min="12563" max="12805" width="9" style="4"/>
    <col min="12806" max="12806" width="1.54296875" style="4" customWidth="1"/>
    <col min="12807" max="12807" width="40.54296875" style="4" customWidth="1"/>
    <col min="12808" max="12812" width="10.54296875" style="4" customWidth="1"/>
    <col min="12813" max="12813" width="11.453125" style="4" customWidth="1"/>
    <col min="12814" max="12815" width="12" style="4" customWidth="1"/>
    <col min="12816" max="12817" width="9" style="4"/>
    <col min="12818" max="12818" width="11" style="4" bestFit="1" customWidth="1"/>
    <col min="12819" max="13061" width="9" style="4"/>
    <col min="13062" max="13062" width="1.54296875" style="4" customWidth="1"/>
    <col min="13063" max="13063" width="40.54296875" style="4" customWidth="1"/>
    <col min="13064" max="13068" width="10.54296875" style="4" customWidth="1"/>
    <col min="13069" max="13069" width="11.453125" style="4" customWidth="1"/>
    <col min="13070" max="13071" width="12" style="4" customWidth="1"/>
    <col min="13072" max="13073" width="9" style="4"/>
    <col min="13074" max="13074" width="11" style="4" bestFit="1" customWidth="1"/>
    <col min="13075" max="13317" width="9" style="4"/>
    <col min="13318" max="13318" width="1.54296875" style="4" customWidth="1"/>
    <col min="13319" max="13319" width="40.54296875" style="4" customWidth="1"/>
    <col min="13320" max="13324" width="10.54296875" style="4" customWidth="1"/>
    <col min="13325" max="13325" width="11.453125" style="4" customWidth="1"/>
    <col min="13326" max="13327" width="12" style="4" customWidth="1"/>
    <col min="13328" max="13329" width="9" style="4"/>
    <col min="13330" max="13330" width="11" style="4" bestFit="1" customWidth="1"/>
    <col min="13331" max="13573" width="9" style="4"/>
    <col min="13574" max="13574" width="1.54296875" style="4" customWidth="1"/>
    <col min="13575" max="13575" width="40.54296875" style="4" customWidth="1"/>
    <col min="13576" max="13580" width="10.54296875" style="4" customWidth="1"/>
    <col min="13581" max="13581" width="11.453125" style="4" customWidth="1"/>
    <col min="13582" max="13583" width="12" style="4" customWidth="1"/>
    <col min="13584" max="13585" width="9" style="4"/>
    <col min="13586" max="13586" width="11" style="4" bestFit="1" customWidth="1"/>
    <col min="13587" max="13829" width="9" style="4"/>
    <col min="13830" max="13830" width="1.54296875" style="4" customWidth="1"/>
    <col min="13831" max="13831" width="40.54296875" style="4" customWidth="1"/>
    <col min="13832" max="13836" width="10.54296875" style="4" customWidth="1"/>
    <col min="13837" max="13837" width="11.453125" style="4" customWidth="1"/>
    <col min="13838" max="13839" width="12" style="4" customWidth="1"/>
    <col min="13840" max="13841" width="9" style="4"/>
    <col min="13842" max="13842" width="11" style="4" bestFit="1" customWidth="1"/>
    <col min="13843" max="14085" width="9" style="4"/>
    <col min="14086" max="14086" width="1.54296875" style="4" customWidth="1"/>
    <col min="14087" max="14087" width="40.54296875" style="4" customWidth="1"/>
    <col min="14088" max="14092" width="10.54296875" style="4" customWidth="1"/>
    <col min="14093" max="14093" width="11.453125" style="4" customWidth="1"/>
    <col min="14094" max="14095" width="12" style="4" customWidth="1"/>
    <col min="14096" max="14097" width="9" style="4"/>
    <col min="14098" max="14098" width="11" style="4" bestFit="1" customWidth="1"/>
    <col min="14099" max="14341" width="9" style="4"/>
    <col min="14342" max="14342" width="1.54296875" style="4" customWidth="1"/>
    <col min="14343" max="14343" width="40.54296875" style="4" customWidth="1"/>
    <col min="14344" max="14348" width="10.54296875" style="4" customWidth="1"/>
    <col min="14349" max="14349" width="11.453125" style="4" customWidth="1"/>
    <col min="14350" max="14351" width="12" style="4" customWidth="1"/>
    <col min="14352" max="14353" width="9" style="4"/>
    <col min="14354" max="14354" width="11" style="4" bestFit="1" customWidth="1"/>
    <col min="14355" max="14597" width="9" style="4"/>
    <col min="14598" max="14598" width="1.54296875" style="4" customWidth="1"/>
    <col min="14599" max="14599" width="40.54296875" style="4" customWidth="1"/>
    <col min="14600" max="14604" width="10.54296875" style="4" customWidth="1"/>
    <col min="14605" max="14605" width="11.453125" style="4" customWidth="1"/>
    <col min="14606" max="14607" width="12" style="4" customWidth="1"/>
    <col min="14608" max="14609" width="9" style="4"/>
    <col min="14610" max="14610" width="11" style="4" bestFit="1" customWidth="1"/>
    <col min="14611" max="14853" width="9" style="4"/>
    <col min="14854" max="14854" width="1.54296875" style="4" customWidth="1"/>
    <col min="14855" max="14855" width="40.54296875" style="4" customWidth="1"/>
    <col min="14856" max="14860" width="10.54296875" style="4" customWidth="1"/>
    <col min="14861" max="14861" width="11.453125" style="4" customWidth="1"/>
    <col min="14862" max="14863" width="12" style="4" customWidth="1"/>
    <col min="14864" max="14865" width="9" style="4"/>
    <col min="14866" max="14866" width="11" style="4" bestFit="1" customWidth="1"/>
    <col min="14867" max="15109" width="9" style="4"/>
    <col min="15110" max="15110" width="1.54296875" style="4" customWidth="1"/>
    <col min="15111" max="15111" width="40.54296875" style="4" customWidth="1"/>
    <col min="15112" max="15116" width="10.54296875" style="4" customWidth="1"/>
    <col min="15117" max="15117" width="11.453125" style="4" customWidth="1"/>
    <col min="15118" max="15119" width="12" style="4" customWidth="1"/>
    <col min="15120" max="15121" width="9" style="4"/>
    <col min="15122" max="15122" width="11" style="4" bestFit="1" customWidth="1"/>
    <col min="15123" max="15365" width="9" style="4"/>
    <col min="15366" max="15366" width="1.54296875" style="4" customWidth="1"/>
    <col min="15367" max="15367" width="40.54296875" style="4" customWidth="1"/>
    <col min="15368" max="15372" width="10.54296875" style="4" customWidth="1"/>
    <col min="15373" max="15373" width="11.453125" style="4" customWidth="1"/>
    <col min="15374" max="15375" width="12" style="4" customWidth="1"/>
    <col min="15376" max="15377" width="9" style="4"/>
    <col min="15378" max="15378" width="11" style="4" bestFit="1" customWidth="1"/>
    <col min="15379" max="15621" width="9" style="4"/>
    <col min="15622" max="15622" width="1.54296875" style="4" customWidth="1"/>
    <col min="15623" max="15623" width="40.54296875" style="4" customWidth="1"/>
    <col min="15624" max="15628" width="10.54296875" style="4" customWidth="1"/>
    <col min="15629" max="15629" width="11.453125" style="4" customWidth="1"/>
    <col min="15630" max="15631" width="12" style="4" customWidth="1"/>
    <col min="15632" max="15633" width="9" style="4"/>
    <col min="15634" max="15634" width="11" style="4" bestFit="1" customWidth="1"/>
    <col min="15635" max="15877" width="9" style="4"/>
    <col min="15878" max="15878" width="1.54296875" style="4" customWidth="1"/>
    <col min="15879" max="15879" width="40.54296875" style="4" customWidth="1"/>
    <col min="15880" max="15884" width="10.54296875" style="4" customWidth="1"/>
    <col min="15885" max="15885" width="11.453125" style="4" customWidth="1"/>
    <col min="15886" max="15887" width="12" style="4" customWidth="1"/>
    <col min="15888" max="15889" width="9" style="4"/>
    <col min="15890" max="15890" width="11" style="4" bestFit="1" customWidth="1"/>
    <col min="15891" max="16133" width="9" style="4"/>
    <col min="16134" max="16134" width="1.54296875" style="4" customWidth="1"/>
    <col min="16135" max="16135" width="40.54296875" style="4" customWidth="1"/>
    <col min="16136" max="16140" width="10.54296875" style="4" customWidth="1"/>
    <col min="16141" max="16141" width="11.453125" style="4" customWidth="1"/>
    <col min="16142" max="16143" width="12" style="4" customWidth="1"/>
    <col min="16144" max="16145" width="9" style="4"/>
    <col min="16146" max="16146" width="11" style="4" bestFit="1" customWidth="1"/>
    <col min="16147" max="16383" width="9" style="4"/>
    <col min="16384" max="16384" width="9" style="4" customWidth="1"/>
  </cols>
  <sheetData>
    <row r="1" spans="1:68" s="82" customFormat="1" ht="18">
      <c r="A1" s="84" t="str">
        <f>CoName</f>
        <v>ServiceNow</v>
      </c>
      <c r="K1" s="8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s="16" customFormat="1" ht="18">
      <c r="A2" s="19"/>
      <c r="B2" s="20"/>
      <c r="C2" s="38"/>
      <c r="D2" s="21" t="s">
        <v>142</v>
      </c>
      <c r="E2" s="21" t="s">
        <v>142</v>
      </c>
      <c r="F2" s="21" t="s">
        <v>142</v>
      </c>
      <c r="G2" s="21" t="s">
        <v>142</v>
      </c>
      <c r="H2" s="21" t="s">
        <v>142</v>
      </c>
      <c r="I2" s="21" t="s">
        <v>142</v>
      </c>
      <c r="J2" s="21" t="s">
        <v>143</v>
      </c>
      <c r="K2" s="21" t="s">
        <v>143</v>
      </c>
      <c r="L2" s="21" t="s">
        <v>143</v>
      </c>
      <c r="M2" s="21" t="s">
        <v>143</v>
      </c>
      <c r="N2" s="21" t="s">
        <v>143</v>
      </c>
      <c r="O2" s="21" t="s">
        <v>143</v>
      </c>
      <c r="P2" s="21" t="s">
        <v>143</v>
      </c>
      <c r="Q2" s="21" t="s">
        <v>143</v>
      </c>
      <c r="R2" s="21" t="s">
        <v>143</v>
      </c>
    </row>
    <row r="3" spans="1:68" s="16" customFormat="1" ht="18.5" thickBot="1">
      <c r="A3" s="22" t="s">
        <v>144</v>
      </c>
      <c r="B3" s="23"/>
      <c r="C3" s="23"/>
      <c r="D3" s="32">
        <v>2020</v>
      </c>
      <c r="E3" s="32">
        <v>2021</v>
      </c>
      <c r="F3" s="32">
        <f>E3+1</f>
        <v>2022</v>
      </c>
      <c r="G3" s="32">
        <f t="shared" ref="G3:P3" si="0">F3+1</f>
        <v>2023</v>
      </c>
      <c r="H3" s="32">
        <f t="shared" si="0"/>
        <v>2024</v>
      </c>
      <c r="I3" s="32">
        <f t="shared" si="0"/>
        <v>2025</v>
      </c>
      <c r="J3" s="32">
        <f t="shared" si="0"/>
        <v>2026</v>
      </c>
      <c r="K3" s="32">
        <f t="shared" si="0"/>
        <v>2027</v>
      </c>
      <c r="L3" s="32">
        <f t="shared" si="0"/>
        <v>2028</v>
      </c>
      <c r="M3" s="32">
        <f t="shared" si="0"/>
        <v>2029</v>
      </c>
      <c r="N3" s="32">
        <f t="shared" si="0"/>
        <v>2030</v>
      </c>
      <c r="O3" s="32">
        <f t="shared" si="0"/>
        <v>2031</v>
      </c>
      <c r="P3" s="32">
        <f t="shared" si="0"/>
        <v>2032</v>
      </c>
      <c r="Q3" s="32">
        <f t="shared" ref="Q3" si="1">P3+1</f>
        <v>2033</v>
      </c>
      <c r="R3" s="32">
        <f t="shared" ref="R3" si="2">Q3+1</f>
        <v>2034</v>
      </c>
    </row>
    <row r="4" spans="1:68" ht="12.5">
      <c r="B4" s="4" t="s">
        <v>145</v>
      </c>
      <c r="D4" s="572">
        <v>4519.5</v>
      </c>
      <c r="E4" s="572">
        <v>5896</v>
      </c>
      <c r="F4" s="572">
        <v>7245</v>
      </c>
      <c r="G4" s="572">
        <v>8971</v>
      </c>
      <c r="H4" s="572">
        <v>10984</v>
      </c>
      <c r="I4" s="572">
        <v>13278</v>
      </c>
      <c r="J4" s="573">
        <f>Assumptions!J11</f>
        <v>15530</v>
      </c>
      <c r="K4" s="574">
        <f>Assumptions!K11</f>
        <v>19295.342400000001</v>
      </c>
      <c r="L4" s="574">
        <f>Assumptions!L11</f>
        <v>23635.238363999997</v>
      </c>
      <c r="M4" s="574">
        <f>Assumptions!M11</f>
        <v>27561.155868959999</v>
      </c>
      <c r="N4" s="574">
        <f>Assumptions!N11</f>
        <v>31577.855470190396</v>
      </c>
      <c r="O4" s="574">
        <f>Assumptions!O11</f>
        <v>34633.438829380604</v>
      </c>
      <c r="P4" s="574">
        <f>Assumptions!P11</f>
        <v>37773.92862153631</v>
      </c>
      <c r="Q4" s="574">
        <f>Assumptions!Q11</f>
        <v>40655.40138176889</v>
      </c>
      <c r="R4" s="574">
        <f>Assumptions!R11</f>
        <v>43743.444260636286</v>
      </c>
    </row>
    <row r="5" spans="1:68" ht="12.5">
      <c r="B5" s="4" t="s">
        <v>146</v>
      </c>
      <c r="D5" s="572">
        <v>987.1</v>
      </c>
      <c r="E5" s="572">
        <v>1353</v>
      </c>
      <c r="F5" s="572">
        <v>1573</v>
      </c>
      <c r="G5" s="572">
        <v>1921</v>
      </c>
      <c r="H5" s="572">
        <v>2287</v>
      </c>
      <c r="I5" s="572">
        <v>2983</v>
      </c>
      <c r="J5" s="575">
        <f>Assumptions!J37</f>
        <v>3571.9</v>
      </c>
      <c r="K5" s="576">
        <f>Assumptions!K37</f>
        <v>4534.4054640000004</v>
      </c>
      <c r="L5" s="576">
        <f>Assumptions!L37</f>
        <v>5433.4051115505918</v>
      </c>
      <c r="M5" s="576">
        <f>Assumptions!M37</f>
        <v>6383.9517275466715</v>
      </c>
      <c r="N5" s="576">
        <f>Assumptions!N37</f>
        <v>7331.4766814545146</v>
      </c>
      <c r="O5" s="576">
        <f>Assumptions!O37</f>
        <v>8008.2418501607999</v>
      </c>
      <c r="P5" s="576">
        <f>Assumptions!P37</f>
        <v>8751.3209467092365</v>
      </c>
      <c r="Q5" s="576">
        <f>Assumptions!Q37</f>
        <v>9419.5350869853428</v>
      </c>
      <c r="R5" s="576">
        <f>Assumptions!R37</f>
        <v>10128.020563500293</v>
      </c>
    </row>
    <row r="6" spans="1:68" ht="13">
      <c r="A6" s="1"/>
      <c r="B6" s="1" t="s">
        <v>147</v>
      </c>
      <c r="C6" s="1"/>
      <c r="D6" s="577">
        <f>D4-D5</f>
        <v>3532.4</v>
      </c>
      <c r="E6" s="577">
        <f t="shared" ref="E6:R6" si="3">E4-E5</f>
        <v>4543</v>
      </c>
      <c r="F6" s="577">
        <f t="shared" si="3"/>
        <v>5672</v>
      </c>
      <c r="G6" s="577">
        <f t="shared" si="3"/>
        <v>7050</v>
      </c>
      <c r="H6" s="577">
        <f t="shared" si="3"/>
        <v>8697</v>
      </c>
      <c r="I6" s="577">
        <f t="shared" si="3"/>
        <v>10295</v>
      </c>
      <c r="J6" s="578">
        <f t="shared" si="3"/>
        <v>11958.1</v>
      </c>
      <c r="K6" s="579">
        <f t="shared" si="3"/>
        <v>14760.936936000002</v>
      </c>
      <c r="L6" s="579">
        <f t="shared" si="3"/>
        <v>18201.833252449404</v>
      </c>
      <c r="M6" s="579">
        <f t="shared" si="3"/>
        <v>21177.204141413327</v>
      </c>
      <c r="N6" s="579">
        <f t="shared" si="3"/>
        <v>24246.378788735881</v>
      </c>
      <c r="O6" s="579">
        <f t="shared" si="3"/>
        <v>26625.196979219803</v>
      </c>
      <c r="P6" s="579">
        <f t="shared" si="3"/>
        <v>29022.607674827072</v>
      </c>
      <c r="Q6" s="579">
        <f t="shared" si="3"/>
        <v>31235.866294783547</v>
      </c>
      <c r="R6" s="579">
        <f t="shared" si="3"/>
        <v>33615.423697135993</v>
      </c>
    </row>
    <row r="7" spans="1:68" ht="13">
      <c r="A7" s="1"/>
      <c r="B7" t="s">
        <v>148</v>
      </c>
      <c r="C7" s="1"/>
      <c r="D7" s="580">
        <v>1855</v>
      </c>
      <c r="E7" s="580">
        <v>2292</v>
      </c>
      <c r="F7" s="580">
        <v>2814</v>
      </c>
      <c r="G7" s="580">
        <v>3301</v>
      </c>
      <c r="H7" s="580">
        <v>3854</v>
      </c>
      <c r="I7" s="580">
        <v>4388</v>
      </c>
      <c r="J7" s="575">
        <f>Assumptions!J42</f>
        <v>4969.6000000000004</v>
      </c>
      <c r="K7" s="576">
        <f>Assumptions!K42</f>
        <v>5981.5561440000001</v>
      </c>
      <c r="L7" s="576">
        <f>Assumptions!L42</f>
        <v>7326.9238928399991</v>
      </c>
      <c r="M7" s="576">
        <f>Assumptions!M42</f>
        <v>8543.9583193775998</v>
      </c>
      <c r="N7" s="576">
        <f>Assumptions!N42</f>
        <v>8526.0209769514076</v>
      </c>
      <c r="O7" s="576">
        <f>Assumptions!O42</f>
        <v>8658.359707345151</v>
      </c>
      <c r="P7" s="576">
        <f>Assumptions!P42</f>
        <v>9065.7428691687146</v>
      </c>
      <c r="Q7" s="576">
        <f>Assumptions!Q42</f>
        <v>9757.2963316245332</v>
      </c>
      <c r="R7" s="576">
        <f>Assumptions!R42</f>
        <v>9623.5577373399829</v>
      </c>
    </row>
    <row r="8" spans="1:68" ht="12.5">
      <c r="B8" t="s">
        <v>149</v>
      </c>
      <c r="D8" s="572">
        <v>454</v>
      </c>
      <c r="E8" s="572">
        <v>597</v>
      </c>
      <c r="F8" s="572">
        <v>735</v>
      </c>
      <c r="G8" s="572">
        <v>863</v>
      </c>
      <c r="H8" s="572">
        <v>936</v>
      </c>
      <c r="I8" s="572">
        <v>1123</v>
      </c>
      <c r="J8" s="575">
        <f>Assumptions!J44</f>
        <v>1242.4000000000001</v>
      </c>
      <c r="K8" s="576">
        <f>Assumptions!K44</f>
        <v>1447.15068</v>
      </c>
      <c r="L8" s="576">
        <f>Assumptions!L44</f>
        <v>1418.1143018399998</v>
      </c>
      <c r="M8" s="576">
        <f>Assumptions!M44</f>
        <v>1378.057793448</v>
      </c>
      <c r="N8" s="576">
        <f>Assumptions!N44</f>
        <v>1263.1142188076158</v>
      </c>
      <c r="O8" s="576">
        <f>Assumptions!O44</f>
        <v>1039.0031648814181</v>
      </c>
      <c r="P8" s="576">
        <f>Assumptions!P44</f>
        <v>755.47857243072622</v>
      </c>
      <c r="Q8" s="576">
        <f>Assumptions!Q44</f>
        <v>813.10802763537777</v>
      </c>
      <c r="R8" s="576">
        <f>Assumptions!R44</f>
        <v>874.86888521272579</v>
      </c>
    </row>
    <row r="9" spans="1:68" ht="12.5">
      <c r="B9" t="s">
        <v>150</v>
      </c>
      <c r="C9"/>
      <c r="D9" s="572">
        <v>1024.3</v>
      </c>
      <c r="E9" s="572">
        <v>1397</v>
      </c>
      <c r="F9" s="572">
        <v>1768</v>
      </c>
      <c r="G9" s="572">
        <v>2124</v>
      </c>
      <c r="H9" s="572">
        <v>2543</v>
      </c>
      <c r="I9" s="572">
        <v>2960</v>
      </c>
      <c r="J9" s="575">
        <f>Assumptions!J46</f>
        <v>3463.19</v>
      </c>
      <c r="K9" s="576">
        <f>Assumptions!K46</f>
        <v>4244.9753280000004</v>
      </c>
      <c r="L9" s="576">
        <f>Assumptions!L46</f>
        <v>5081.5762482599994</v>
      </c>
      <c r="M9" s="576">
        <f>Assumptions!M46</f>
        <v>5787.8427324815993</v>
      </c>
      <c r="N9" s="576">
        <f>Assumptions!N46</f>
        <v>6473.460371389031</v>
      </c>
      <c r="O9" s="576">
        <f>Assumptions!O46</f>
        <v>6926.6877658761214</v>
      </c>
      <c r="P9" s="576">
        <f>Assumptions!P46</f>
        <v>7554.7857243072622</v>
      </c>
      <c r="Q9" s="576">
        <f>Assumptions!Q46</f>
        <v>8131.0802763537786</v>
      </c>
      <c r="R9" s="576">
        <f>Assumptions!R46</f>
        <v>8311.2544095208941</v>
      </c>
    </row>
    <row r="10" spans="1:68" ht="12.5">
      <c r="B10" t="s">
        <v>151</v>
      </c>
      <c r="C10"/>
      <c r="D10" s="572">
        <v>0</v>
      </c>
      <c r="E10" s="572">
        <v>0</v>
      </c>
      <c r="F10" s="572">
        <v>0</v>
      </c>
      <c r="G10" s="572">
        <v>0</v>
      </c>
      <c r="H10" s="572">
        <v>0</v>
      </c>
      <c r="I10" s="572">
        <v>0</v>
      </c>
      <c r="J10" s="581">
        <v>0</v>
      </c>
      <c r="K10" s="582">
        <v>0</v>
      </c>
      <c r="L10" s="582">
        <v>0</v>
      </c>
      <c r="M10" s="582">
        <v>0</v>
      </c>
      <c r="N10" s="582">
        <v>0</v>
      </c>
      <c r="O10" s="582">
        <v>0</v>
      </c>
      <c r="P10" s="582">
        <v>0</v>
      </c>
      <c r="Q10" s="582"/>
      <c r="R10" s="582"/>
    </row>
    <row r="11" spans="1:68" ht="12.5">
      <c r="B11" t="s">
        <v>152</v>
      </c>
      <c r="C11"/>
      <c r="D11" s="583">
        <f t="shared" ref="D11:I11" si="4">D8+D9+D10+D7</f>
        <v>3333.3</v>
      </c>
      <c r="E11" s="583">
        <f t="shared" si="4"/>
        <v>4286</v>
      </c>
      <c r="F11" s="583">
        <f t="shared" si="4"/>
        <v>5317</v>
      </c>
      <c r="G11" s="583">
        <f t="shared" si="4"/>
        <v>6288</v>
      </c>
      <c r="H11" s="583">
        <f t="shared" si="4"/>
        <v>7333</v>
      </c>
      <c r="I11" s="583">
        <f t="shared" si="4"/>
        <v>8471</v>
      </c>
      <c r="J11" s="584">
        <f>J8+J9+J10+J7</f>
        <v>9675.19</v>
      </c>
      <c r="K11" s="585">
        <f t="shared" ref="K11:R11" si="5">K8+K9+K10+K7</f>
        <v>11673.682152000001</v>
      </c>
      <c r="L11" s="585">
        <f t="shared" si="5"/>
        <v>13826.614442939997</v>
      </c>
      <c r="M11" s="585">
        <f t="shared" si="5"/>
        <v>15709.858845307199</v>
      </c>
      <c r="N11" s="585">
        <f t="shared" si="5"/>
        <v>16262.595567148055</v>
      </c>
      <c r="O11" s="585">
        <f t="shared" si="5"/>
        <v>16624.05063810269</v>
      </c>
      <c r="P11" s="585">
        <f t="shared" si="5"/>
        <v>17376.007165906703</v>
      </c>
      <c r="Q11" s="585">
        <f t="shared" si="5"/>
        <v>18701.484635613691</v>
      </c>
      <c r="R11" s="585">
        <f t="shared" si="5"/>
        <v>18809.681032073604</v>
      </c>
    </row>
    <row r="12" spans="1:68" ht="13">
      <c r="A12" s="1"/>
      <c r="B12" s="1" t="s">
        <v>153</v>
      </c>
      <c r="C12" s="1"/>
      <c r="D12" s="577">
        <f t="shared" ref="D12:I12" si="6">D6-D11</f>
        <v>199.09999999999991</v>
      </c>
      <c r="E12" s="577">
        <f t="shared" si="6"/>
        <v>257</v>
      </c>
      <c r="F12" s="577">
        <f t="shared" si="6"/>
        <v>355</v>
      </c>
      <c r="G12" s="577">
        <f t="shared" si="6"/>
        <v>762</v>
      </c>
      <c r="H12" s="577">
        <f t="shared" si="6"/>
        <v>1364</v>
      </c>
      <c r="I12" s="577">
        <f t="shared" si="6"/>
        <v>1824</v>
      </c>
      <c r="J12" s="578">
        <f>J6-J11</f>
        <v>2282.91</v>
      </c>
      <c r="K12" s="579">
        <f t="shared" ref="K12:R12" si="7">K6-K11</f>
        <v>3087.2547840000007</v>
      </c>
      <c r="L12" s="579">
        <f t="shared" si="7"/>
        <v>4375.2188095094061</v>
      </c>
      <c r="M12" s="579">
        <f t="shared" si="7"/>
        <v>5467.3452961061284</v>
      </c>
      <c r="N12" s="579">
        <f t="shared" si="7"/>
        <v>7983.7832215878261</v>
      </c>
      <c r="O12" s="579">
        <f t="shared" si="7"/>
        <v>10001.146341117113</v>
      </c>
      <c r="P12" s="579">
        <f t="shared" si="7"/>
        <v>11646.600508920368</v>
      </c>
      <c r="Q12" s="579">
        <f t="shared" si="7"/>
        <v>12534.381659169856</v>
      </c>
      <c r="R12" s="579">
        <f t="shared" si="7"/>
        <v>14805.742665062389</v>
      </c>
    </row>
    <row r="13" spans="1:68" ht="13">
      <c r="A13" s="1"/>
      <c r="B13" s="81" t="s">
        <v>104</v>
      </c>
      <c r="C13" s="81"/>
      <c r="D13" s="586">
        <v>290.39999999999998</v>
      </c>
      <c r="E13" s="586">
        <v>396</v>
      </c>
      <c r="F13" s="586">
        <v>352</v>
      </c>
      <c r="G13" s="586">
        <v>477</v>
      </c>
      <c r="H13" s="586">
        <v>470</v>
      </c>
      <c r="I13" s="586">
        <v>618</v>
      </c>
      <c r="J13" s="594"/>
      <c r="K13" s="595"/>
      <c r="L13" s="595"/>
      <c r="M13" s="595"/>
      <c r="N13" s="595"/>
      <c r="O13" s="595"/>
      <c r="P13" s="596"/>
      <c r="Q13" s="596"/>
      <c r="R13" s="596"/>
      <c r="U13" s="85"/>
      <c r="V13" s="85"/>
      <c r="W13" s="85"/>
      <c r="X13" s="87" t="s">
        <v>154</v>
      </c>
      <c r="Y13" s="85"/>
      <c r="Z13" s="85"/>
      <c r="AA13" s="85"/>
      <c r="AB13" s="85"/>
    </row>
    <row r="14" spans="1:68" ht="13">
      <c r="A14" s="1"/>
      <c r="B14" s="81" t="s">
        <v>107</v>
      </c>
      <c r="C14" s="81"/>
      <c r="D14" s="586">
        <v>46</v>
      </c>
      <c r="E14" s="586">
        <v>76</v>
      </c>
      <c r="F14" s="586">
        <v>81</v>
      </c>
      <c r="G14" s="586">
        <v>85</v>
      </c>
      <c r="H14" s="586">
        <v>94</v>
      </c>
      <c r="I14" s="586">
        <v>120</v>
      </c>
      <c r="J14" s="594"/>
      <c r="K14" s="595"/>
      <c r="L14" s="595"/>
      <c r="M14" s="595"/>
      <c r="N14" s="597"/>
      <c r="O14" s="595"/>
      <c r="P14" s="596"/>
      <c r="Q14" s="596"/>
      <c r="R14" s="596"/>
      <c r="U14" s="85"/>
      <c r="V14" s="85"/>
      <c r="W14" s="85"/>
      <c r="X14" s="85"/>
      <c r="Y14" s="85"/>
      <c r="Z14" s="85"/>
      <c r="AA14" s="85"/>
      <c r="AB14" s="85"/>
    </row>
    <row r="15" spans="1:68" ht="13">
      <c r="A15" s="1"/>
      <c r="B15" s="79" t="s">
        <v>155</v>
      </c>
      <c r="C15" s="80"/>
      <c r="D15" s="586">
        <f t="shared" ref="D15:I15" si="8">D12+D13+D14</f>
        <v>535.49999999999989</v>
      </c>
      <c r="E15" s="586">
        <f t="shared" si="8"/>
        <v>729</v>
      </c>
      <c r="F15" s="586">
        <f t="shared" si="8"/>
        <v>788</v>
      </c>
      <c r="G15" s="586">
        <f t="shared" si="8"/>
        <v>1324</v>
      </c>
      <c r="H15" s="586">
        <f t="shared" si="8"/>
        <v>1928</v>
      </c>
      <c r="I15" s="586">
        <f t="shared" si="8"/>
        <v>2562</v>
      </c>
      <c r="J15" s="598"/>
      <c r="K15" s="596"/>
      <c r="L15" s="596"/>
      <c r="M15" s="596"/>
      <c r="N15" s="597"/>
      <c r="O15" s="595"/>
      <c r="P15" s="596"/>
      <c r="Q15" s="596"/>
      <c r="R15" s="596"/>
      <c r="U15" s="85"/>
      <c r="V15" s="85"/>
      <c r="W15" s="85"/>
      <c r="X15" s="85"/>
      <c r="Y15" s="85"/>
      <c r="Z15" s="85"/>
      <c r="AA15" s="85"/>
      <c r="AB15" s="85"/>
    </row>
    <row r="16" spans="1:68" ht="13">
      <c r="A16" s="1"/>
      <c r="B16" s="1"/>
      <c r="C16" s="1"/>
      <c r="D16" s="577"/>
      <c r="E16" s="577"/>
      <c r="F16" s="580"/>
      <c r="G16" s="580"/>
      <c r="H16" s="580"/>
      <c r="I16" s="580"/>
      <c r="J16" s="587"/>
      <c r="K16" s="588"/>
      <c r="L16" s="588"/>
      <c r="M16" s="588"/>
      <c r="N16" s="589"/>
      <c r="O16" s="588"/>
      <c r="P16" s="579"/>
      <c r="Q16" s="579"/>
      <c r="R16" s="579"/>
      <c r="U16" s="85"/>
      <c r="V16" s="85"/>
      <c r="W16" s="85"/>
      <c r="X16" s="85"/>
      <c r="Y16" s="85"/>
      <c r="Z16" s="85"/>
      <c r="AA16" s="85"/>
      <c r="AB16" s="85"/>
    </row>
    <row r="17" spans="1:28" s="1" customFormat="1" ht="13">
      <c r="B17" t="s">
        <v>156</v>
      </c>
      <c r="D17" s="577">
        <v>33</v>
      </c>
      <c r="E17" s="577">
        <v>28</v>
      </c>
      <c r="F17" s="580">
        <v>27</v>
      </c>
      <c r="G17" s="580">
        <v>24</v>
      </c>
      <c r="H17" s="580">
        <v>23</v>
      </c>
      <c r="I17" s="580">
        <v>23</v>
      </c>
      <c r="J17" s="575">
        <f>Assumptions!J166</f>
        <v>20.873999999999999</v>
      </c>
      <c r="K17" s="576">
        <f>Assumptions!K166</f>
        <v>20.873999999999999</v>
      </c>
      <c r="L17" s="576">
        <f>Assumptions!L166</f>
        <v>20.873999999999999</v>
      </c>
      <c r="M17" s="576">
        <f>Assumptions!M166</f>
        <v>20.873999999999999</v>
      </c>
      <c r="N17" s="576">
        <f>Assumptions!N166</f>
        <v>20.873999999999999</v>
      </c>
      <c r="O17" s="576">
        <f>Assumptions!O166</f>
        <v>20.873999999999999</v>
      </c>
      <c r="P17" s="576">
        <f>Assumptions!P166</f>
        <v>20.873999999999999</v>
      </c>
      <c r="Q17" s="576">
        <f>Assumptions!Q166</f>
        <v>20.873999999999999</v>
      </c>
      <c r="R17" s="576">
        <f>Assumptions!R166</f>
        <v>20.873999999999999</v>
      </c>
      <c r="T17" s="4"/>
      <c r="U17" s="85"/>
      <c r="V17" s="85"/>
      <c r="W17" s="85"/>
      <c r="X17" s="85"/>
      <c r="Y17" s="85"/>
      <c r="Z17" s="85"/>
      <c r="AA17" s="86"/>
      <c r="AB17" s="86"/>
    </row>
    <row r="18" spans="1:28" s="1" customFormat="1" ht="13">
      <c r="B18" s="4" t="s">
        <v>66</v>
      </c>
      <c r="C18" s="4"/>
      <c r="D18" s="580"/>
      <c r="E18" s="580">
        <v>-20</v>
      </c>
      <c r="F18" s="590">
        <v>-82</v>
      </c>
      <c r="G18" s="590">
        <v>-302</v>
      </c>
      <c r="H18" s="590">
        <v>-419</v>
      </c>
      <c r="I18" s="580">
        <v>-451</v>
      </c>
      <c r="J18" s="575">
        <f>-Assumptions!J52</f>
        <v>-310.60000000000002</v>
      </c>
      <c r="K18" s="576">
        <f>-Assumptions!K52</f>
        <v>-385.90684800000002</v>
      </c>
      <c r="L18" s="576">
        <f>-Assumptions!L52</f>
        <v>-472.70476727999994</v>
      </c>
      <c r="M18" s="576">
        <f>-Assumptions!M52</f>
        <v>-551.22311737919995</v>
      </c>
      <c r="N18" s="576">
        <f>-Assumptions!N52</f>
        <v>-631.55710940380789</v>
      </c>
      <c r="O18" s="576">
        <f>-Assumptions!O52</f>
        <v>-692.66877658761211</v>
      </c>
      <c r="P18" s="576">
        <f>-Assumptions!P52</f>
        <v>-755.47857243072622</v>
      </c>
      <c r="Q18" s="576">
        <f>-Assumptions!Q52</f>
        <v>-813.10802763537777</v>
      </c>
      <c r="R18" s="576">
        <f>-Assumptions!R52</f>
        <v>-874.86888521272579</v>
      </c>
      <c r="T18" s="4"/>
      <c r="U18" s="85"/>
      <c r="V18" s="85"/>
      <c r="W18" s="85"/>
      <c r="X18" s="85"/>
      <c r="Y18" s="85"/>
      <c r="Z18" s="85"/>
      <c r="AA18" s="86"/>
      <c r="AB18" s="86"/>
    </row>
    <row r="19" spans="1:28" ht="13">
      <c r="A19" s="1"/>
      <c r="B19" t="s">
        <v>157</v>
      </c>
      <c r="D19" s="580">
        <v>16</v>
      </c>
      <c r="E19" s="580">
        <v>0</v>
      </c>
      <c r="F19" s="590">
        <v>11</v>
      </c>
      <c r="G19" s="590">
        <v>32</v>
      </c>
      <c r="H19" s="590">
        <v>22</v>
      </c>
      <c r="I19" s="580">
        <v>-9</v>
      </c>
      <c r="J19" s="587">
        <v>0</v>
      </c>
      <c r="K19" s="588">
        <v>0</v>
      </c>
      <c r="L19" s="588">
        <v>0</v>
      </c>
      <c r="M19" s="588">
        <v>0</v>
      </c>
      <c r="N19" s="588">
        <v>0</v>
      </c>
      <c r="O19" s="588">
        <v>0</v>
      </c>
      <c r="P19" s="588">
        <v>0</v>
      </c>
      <c r="Q19" s="588">
        <v>0</v>
      </c>
      <c r="R19" s="588">
        <v>0</v>
      </c>
      <c r="U19" s="85"/>
      <c r="V19" s="85"/>
      <c r="W19" s="85"/>
      <c r="X19" s="85"/>
      <c r="Y19" s="85"/>
      <c r="Z19" s="85"/>
      <c r="AA19" s="85"/>
      <c r="AB19" s="85"/>
    </row>
    <row r="20" spans="1:28" ht="13">
      <c r="A20" s="1"/>
      <c r="B20" s="1" t="s">
        <v>158</v>
      </c>
      <c r="C20" s="1"/>
      <c r="D20" s="577">
        <f>D17+D18+D19</f>
        <v>49</v>
      </c>
      <c r="E20" s="577">
        <f t="shared" ref="E20:H20" si="9">E17+E18+E19</f>
        <v>8</v>
      </c>
      <c r="F20" s="577">
        <f t="shared" si="9"/>
        <v>-44</v>
      </c>
      <c r="G20" s="577">
        <f t="shared" si="9"/>
        <v>-246</v>
      </c>
      <c r="H20" s="577">
        <f t="shared" si="9"/>
        <v>-374</v>
      </c>
      <c r="I20" s="577">
        <f>I17+I18+I19</f>
        <v>-437</v>
      </c>
      <c r="J20" s="578">
        <f t="shared" ref="J20:R20" si="10">J17+J18+J19</f>
        <v>-289.726</v>
      </c>
      <c r="K20" s="579">
        <f t="shared" si="10"/>
        <v>-365.032848</v>
      </c>
      <c r="L20" s="579">
        <f t="shared" si="10"/>
        <v>-451.83076727999992</v>
      </c>
      <c r="M20" s="579">
        <f t="shared" si="10"/>
        <v>-530.34911737919992</v>
      </c>
      <c r="N20" s="579">
        <f t="shared" si="10"/>
        <v>-610.68310940380786</v>
      </c>
      <c r="O20" s="579">
        <f t="shared" si="10"/>
        <v>-671.79477658761209</v>
      </c>
      <c r="P20" s="579">
        <f t="shared" si="10"/>
        <v>-734.60457243072619</v>
      </c>
      <c r="Q20" s="579">
        <f t="shared" si="10"/>
        <v>-792.23402763537774</v>
      </c>
      <c r="R20" s="579">
        <f t="shared" si="10"/>
        <v>-853.99488521272576</v>
      </c>
      <c r="U20" s="85"/>
      <c r="V20" s="85"/>
      <c r="W20" s="85"/>
      <c r="X20" s="85"/>
      <c r="Y20" s="85"/>
      <c r="Z20" s="85"/>
      <c r="AA20" s="85"/>
      <c r="AB20" s="85"/>
    </row>
    <row r="21" spans="1:28" ht="13">
      <c r="A21" s="1"/>
      <c r="B21" s="1"/>
      <c r="C21" s="1"/>
      <c r="D21" s="580"/>
      <c r="E21" s="580"/>
      <c r="F21" s="590"/>
      <c r="G21" s="590"/>
      <c r="H21" s="590"/>
      <c r="I21" s="580"/>
      <c r="J21" s="587"/>
      <c r="K21" s="588"/>
      <c r="L21" s="588"/>
      <c r="M21" s="588"/>
      <c r="N21" s="589"/>
      <c r="O21" s="588"/>
      <c r="P21" s="579"/>
      <c r="Q21" s="579"/>
      <c r="R21" s="579"/>
      <c r="U21" s="85"/>
      <c r="V21" s="85"/>
      <c r="W21" s="85"/>
      <c r="X21" s="85"/>
      <c r="Y21" s="85"/>
      <c r="Z21" s="85"/>
      <c r="AA21" s="85"/>
      <c r="AB21" s="85"/>
    </row>
    <row r="22" spans="1:28" ht="13">
      <c r="A22" s="1"/>
      <c r="B22" s="1" t="s">
        <v>159</v>
      </c>
      <c r="C22" s="1"/>
      <c r="D22" s="577">
        <f t="shared" ref="D22:R22" si="11">D12-D20</f>
        <v>150.09999999999991</v>
      </c>
      <c r="E22" s="577">
        <f t="shared" si="11"/>
        <v>249</v>
      </c>
      <c r="F22" s="577">
        <f t="shared" si="11"/>
        <v>399</v>
      </c>
      <c r="G22" s="577">
        <f t="shared" si="11"/>
        <v>1008</v>
      </c>
      <c r="H22" s="577">
        <f t="shared" si="11"/>
        <v>1738</v>
      </c>
      <c r="I22" s="577">
        <f t="shared" si="11"/>
        <v>2261</v>
      </c>
      <c r="J22" s="578">
        <f t="shared" si="11"/>
        <v>2572.636</v>
      </c>
      <c r="K22" s="579">
        <f t="shared" si="11"/>
        <v>3452.2876320000005</v>
      </c>
      <c r="L22" s="579">
        <f t="shared" si="11"/>
        <v>4827.0495767894063</v>
      </c>
      <c r="M22" s="579">
        <f t="shared" si="11"/>
        <v>5997.6944134853284</v>
      </c>
      <c r="N22" s="579">
        <f t="shared" si="11"/>
        <v>8594.4663309916341</v>
      </c>
      <c r="O22" s="579">
        <f t="shared" si="11"/>
        <v>10672.941117704726</v>
      </c>
      <c r="P22" s="579">
        <f>P12-P20</f>
        <v>12381.205081351094</v>
      </c>
      <c r="Q22" s="579">
        <f t="shared" si="11"/>
        <v>13326.615686805233</v>
      </c>
      <c r="R22" s="579">
        <f t="shared" si="11"/>
        <v>15659.737550275115</v>
      </c>
      <c r="U22" s="85"/>
      <c r="V22" s="85"/>
      <c r="W22" s="85"/>
      <c r="X22" s="85"/>
      <c r="Y22" s="85"/>
      <c r="Z22" s="85"/>
      <c r="AA22" s="85"/>
      <c r="AB22" s="85"/>
    </row>
    <row r="23" spans="1:28" s="1" customFormat="1" ht="13">
      <c r="D23" s="580"/>
      <c r="E23" s="580"/>
      <c r="F23" s="580"/>
      <c r="G23" s="580"/>
      <c r="H23" s="580"/>
      <c r="I23" s="580"/>
      <c r="J23" s="587"/>
      <c r="K23" s="588"/>
      <c r="L23" s="588"/>
      <c r="M23" s="588"/>
      <c r="N23" s="589"/>
      <c r="O23" s="588"/>
      <c r="P23" s="579"/>
      <c r="Q23" s="579"/>
      <c r="R23" s="579"/>
      <c r="S23"/>
      <c r="T23" s="4"/>
      <c r="U23" s="85"/>
      <c r="V23" s="85"/>
      <c r="W23" s="85"/>
      <c r="X23" s="85"/>
      <c r="Y23" s="85"/>
      <c r="Z23" s="85"/>
      <c r="AA23" s="86"/>
      <c r="AB23" s="86"/>
    </row>
    <row r="24" spans="1:28" s="1" customFormat="1" ht="13">
      <c r="B24" s="79" t="s">
        <v>160</v>
      </c>
      <c r="C24" s="79"/>
      <c r="D24" s="586">
        <v>6.1</v>
      </c>
      <c r="E24" s="586">
        <v>18</v>
      </c>
      <c r="F24" s="591">
        <v>24</v>
      </c>
      <c r="G24" s="591">
        <v>38</v>
      </c>
      <c r="H24" s="591">
        <v>33</v>
      </c>
      <c r="I24" s="586">
        <v>109</v>
      </c>
      <c r="J24" s="599"/>
      <c r="K24" s="595"/>
      <c r="L24" s="595"/>
      <c r="M24" s="595"/>
      <c r="N24" s="595"/>
      <c r="O24" s="595"/>
      <c r="P24" s="595"/>
      <c r="Q24" s="595"/>
      <c r="R24" s="595"/>
      <c r="T24" s="4"/>
      <c r="U24" s="85"/>
      <c r="V24" s="85"/>
      <c r="W24" s="85"/>
      <c r="X24" s="85"/>
      <c r="Y24" s="85"/>
      <c r="Z24" s="85"/>
      <c r="AA24" s="86"/>
      <c r="AB24" s="86"/>
    </row>
    <row r="25" spans="1:28" s="1" customFormat="1" ht="13">
      <c r="B25" s="79" t="s">
        <v>161</v>
      </c>
      <c r="C25" s="79"/>
      <c r="D25" s="586">
        <f>D26-D24</f>
        <v>46.699999999999996</v>
      </c>
      <c r="E25" s="586">
        <f t="shared" ref="E25:I25" si="12">E26-E24</f>
        <v>3</v>
      </c>
      <c r="F25" s="586">
        <f t="shared" si="12"/>
        <v>0</v>
      </c>
      <c r="G25" s="586">
        <f t="shared" si="12"/>
        <v>0</v>
      </c>
      <c r="H25" s="586">
        <f t="shared" si="12"/>
        <v>17</v>
      </c>
      <c r="I25" s="586">
        <f t="shared" si="12"/>
        <v>141</v>
      </c>
      <c r="J25" s="599"/>
      <c r="K25" s="595"/>
      <c r="L25" s="595"/>
      <c r="M25" s="595"/>
      <c r="N25" s="595"/>
      <c r="O25" s="595"/>
      <c r="P25" s="595"/>
      <c r="Q25" s="595"/>
      <c r="R25" s="595"/>
      <c r="T25" s="4"/>
      <c r="U25" s="85"/>
      <c r="V25" s="85"/>
      <c r="W25" s="85"/>
      <c r="X25" s="85"/>
      <c r="Y25" s="85"/>
      <c r="Z25" s="85"/>
      <c r="AA25" s="86"/>
      <c r="AB25" s="86"/>
    </row>
    <row r="26" spans="1:28" s="1" customFormat="1" ht="13">
      <c r="B26" s="80" t="s">
        <v>162</v>
      </c>
      <c r="C26" s="80"/>
      <c r="D26" s="592">
        <v>52.8</v>
      </c>
      <c r="E26" s="592">
        <v>21</v>
      </c>
      <c r="F26" s="593">
        <v>24</v>
      </c>
      <c r="G26" s="593">
        <v>38</v>
      </c>
      <c r="H26" s="593">
        <v>50</v>
      </c>
      <c r="I26" s="592">
        <v>250</v>
      </c>
      <c r="J26" s="594"/>
      <c r="K26" s="595"/>
      <c r="L26" s="595"/>
      <c r="M26" s="595"/>
      <c r="N26" s="595"/>
      <c r="O26" s="595"/>
      <c r="P26" s="595"/>
      <c r="Q26" s="595"/>
      <c r="R26" s="595"/>
      <c r="T26" s="4"/>
      <c r="U26" s="85"/>
      <c r="V26" s="85"/>
      <c r="W26" s="85"/>
      <c r="X26" s="85"/>
      <c r="Y26" s="85"/>
      <c r="Z26" s="85"/>
      <c r="AA26" s="86"/>
      <c r="AB26" s="86"/>
    </row>
    <row r="27" spans="1:28" s="1" customFormat="1" ht="13">
      <c r="D27" s="580"/>
      <c r="E27" s="580"/>
      <c r="F27" s="590"/>
      <c r="G27" s="590"/>
      <c r="H27" s="590"/>
      <c r="I27" s="580"/>
      <c r="J27" s="587"/>
      <c r="K27" s="588"/>
      <c r="L27" s="588"/>
      <c r="M27" s="588"/>
      <c r="N27" s="589"/>
      <c r="O27" s="588"/>
      <c r="P27" s="579"/>
      <c r="Q27" s="579"/>
      <c r="R27" s="579"/>
      <c r="T27" s="4"/>
      <c r="U27" s="85"/>
      <c r="V27" s="85"/>
      <c r="W27" s="85"/>
      <c r="X27" s="85"/>
      <c r="Y27" s="85"/>
      <c r="Z27" s="85"/>
      <c r="AA27" s="86"/>
      <c r="AB27" s="86"/>
    </row>
    <row r="28" spans="1:28" s="1" customFormat="1" ht="13">
      <c r="B28" s="1" t="s">
        <v>163</v>
      </c>
      <c r="D28" s="577">
        <f>D22</f>
        <v>150.09999999999991</v>
      </c>
      <c r="E28" s="577">
        <f t="shared" ref="E28:I28" si="13">E22</f>
        <v>249</v>
      </c>
      <c r="F28" s="577">
        <f t="shared" si="13"/>
        <v>399</v>
      </c>
      <c r="G28" s="577">
        <f t="shared" si="13"/>
        <v>1008</v>
      </c>
      <c r="H28" s="577">
        <f t="shared" si="13"/>
        <v>1738</v>
      </c>
      <c r="I28" s="577">
        <f t="shared" si="13"/>
        <v>2261</v>
      </c>
      <c r="J28" s="587">
        <f t="shared" ref="J28:R28" si="14">J22-J26</f>
        <v>2572.636</v>
      </c>
      <c r="K28" s="588">
        <f t="shared" si="14"/>
        <v>3452.2876320000005</v>
      </c>
      <c r="L28" s="588">
        <f t="shared" si="14"/>
        <v>4827.0495767894063</v>
      </c>
      <c r="M28" s="588">
        <f t="shared" si="14"/>
        <v>5997.6944134853284</v>
      </c>
      <c r="N28" s="588">
        <f t="shared" si="14"/>
        <v>8594.4663309916341</v>
      </c>
      <c r="O28" s="588">
        <f t="shared" si="14"/>
        <v>10672.941117704726</v>
      </c>
      <c r="P28" s="588">
        <f t="shared" si="14"/>
        <v>12381.205081351094</v>
      </c>
      <c r="Q28" s="588">
        <f t="shared" si="14"/>
        <v>13326.615686805233</v>
      </c>
      <c r="R28" s="588">
        <f t="shared" si="14"/>
        <v>15659.737550275115</v>
      </c>
      <c r="T28" s="4"/>
      <c r="U28" s="85"/>
      <c r="V28" s="85"/>
      <c r="W28" s="85"/>
      <c r="X28" s="85"/>
      <c r="Y28" s="85"/>
      <c r="Z28" s="85"/>
      <c r="AA28" s="86"/>
      <c r="AB28" s="86"/>
    </row>
    <row r="29" spans="1:28" s="1" customFormat="1" ht="13">
      <c r="A29" s="4"/>
      <c r="B29" s="4" t="s">
        <v>164</v>
      </c>
      <c r="C29" s="4"/>
      <c r="D29" s="580">
        <v>30.7</v>
      </c>
      <c r="E29" s="580">
        <v>19</v>
      </c>
      <c r="F29" s="590">
        <v>74</v>
      </c>
      <c r="G29" s="590">
        <v>-723</v>
      </c>
      <c r="H29" s="590">
        <v>313</v>
      </c>
      <c r="I29" s="580">
        <v>513</v>
      </c>
      <c r="J29" s="587">
        <f>0.21*J28</f>
        <v>540.25355999999999</v>
      </c>
      <c r="K29" s="588">
        <f t="shared" ref="K29:R29" si="15">0.21*K28</f>
        <v>724.98040272000003</v>
      </c>
      <c r="L29" s="588">
        <f t="shared" si="15"/>
        <v>1013.6804111257753</v>
      </c>
      <c r="M29" s="588">
        <f t="shared" si="15"/>
        <v>1259.515826831919</v>
      </c>
      <c r="N29" s="588">
        <f t="shared" si="15"/>
        <v>1804.8379295082432</v>
      </c>
      <c r="O29" s="588">
        <f t="shared" si="15"/>
        <v>2241.3176347179924</v>
      </c>
      <c r="P29" s="588">
        <f t="shared" si="15"/>
        <v>2600.0530670837297</v>
      </c>
      <c r="Q29" s="588">
        <f t="shared" si="15"/>
        <v>2798.5892942290989</v>
      </c>
      <c r="R29" s="588">
        <f t="shared" si="15"/>
        <v>3288.5448855577738</v>
      </c>
      <c r="T29" s="4"/>
      <c r="U29" s="85"/>
      <c r="V29" s="85"/>
      <c r="W29" s="85"/>
      <c r="X29" s="85"/>
      <c r="Y29" s="85"/>
      <c r="Z29" s="85"/>
      <c r="AA29" s="86"/>
      <c r="AB29" s="86"/>
    </row>
    <row r="30" spans="1:28" s="1" customFormat="1" ht="13">
      <c r="A30" s="4"/>
      <c r="B30" s="1" t="s">
        <v>165</v>
      </c>
      <c r="D30" s="577">
        <f t="shared" ref="D30:R30" si="16">D28-D29</f>
        <v>119.39999999999991</v>
      </c>
      <c r="E30" s="577">
        <f t="shared" si="16"/>
        <v>230</v>
      </c>
      <c r="F30" s="577">
        <f t="shared" si="16"/>
        <v>325</v>
      </c>
      <c r="G30" s="577">
        <f t="shared" si="16"/>
        <v>1731</v>
      </c>
      <c r="H30" s="577">
        <f t="shared" si="16"/>
        <v>1425</v>
      </c>
      <c r="I30" s="577">
        <f t="shared" si="16"/>
        <v>1748</v>
      </c>
      <c r="J30" s="578">
        <f t="shared" si="16"/>
        <v>2032.3824399999999</v>
      </c>
      <c r="K30" s="579">
        <f t="shared" si="16"/>
        <v>2727.3072292800007</v>
      </c>
      <c r="L30" s="579">
        <f t="shared" si="16"/>
        <v>3813.3691656636311</v>
      </c>
      <c r="M30" s="579">
        <f t="shared" si="16"/>
        <v>4738.1785866534092</v>
      </c>
      <c r="N30" s="579">
        <f t="shared" si="16"/>
        <v>6789.6284014833909</v>
      </c>
      <c r="O30" s="579">
        <f t="shared" si="16"/>
        <v>8431.6234829867335</v>
      </c>
      <c r="P30" s="579">
        <f t="shared" si="16"/>
        <v>9781.1520142673653</v>
      </c>
      <c r="Q30" s="579">
        <f t="shared" si="16"/>
        <v>10528.026392576134</v>
      </c>
      <c r="R30" s="579">
        <f t="shared" si="16"/>
        <v>12371.19266471734</v>
      </c>
      <c r="T30" s="4"/>
      <c r="U30" s="85"/>
      <c r="V30" s="85"/>
      <c r="W30" s="85"/>
      <c r="X30" s="85"/>
      <c r="Y30" s="85"/>
      <c r="Z30" s="85"/>
      <c r="AA30" s="86"/>
      <c r="AB30" s="86"/>
    </row>
    <row r="31" spans="1:28" s="1" customFormat="1" ht="13">
      <c r="A31" s="4"/>
      <c r="F31" s="4"/>
      <c r="G31" s="4"/>
      <c r="H31" s="4"/>
      <c r="I31" s="4"/>
      <c r="J31" s="4"/>
      <c r="K31" s="4"/>
      <c r="L31" s="4"/>
      <c r="M31" s="4"/>
      <c r="N31" s="12"/>
      <c r="O31" s="4"/>
      <c r="P31" s="4"/>
      <c r="Q31" s="4"/>
      <c r="R31" s="4"/>
      <c r="T31" s="4"/>
      <c r="U31" s="85"/>
      <c r="V31" s="85"/>
      <c r="W31" s="85"/>
      <c r="X31" s="85"/>
      <c r="Y31" s="85"/>
      <c r="Z31" s="85"/>
      <c r="AA31" s="86"/>
      <c r="AB31" s="86"/>
    </row>
    <row r="32" spans="1:28" s="1" customFormat="1" ht="13">
      <c r="A32" s="4"/>
      <c r="B32" s="4"/>
      <c r="C32" s="4"/>
      <c r="D32" s="4"/>
      <c r="E32" s="4"/>
      <c r="F32" s="17"/>
      <c r="G32" s="17"/>
      <c r="H32" s="17"/>
      <c r="I32" s="4"/>
      <c r="J32" s="4"/>
      <c r="K32" s="4"/>
      <c r="L32" s="4"/>
      <c r="M32" s="4"/>
      <c r="N32" s="12"/>
      <c r="O32" s="4"/>
      <c r="P32" s="4"/>
      <c r="Q32" s="4"/>
      <c r="R32" s="4"/>
      <c r="T32" s="4"/>
      <c r="U32" s="85"/>
      <c r="V32" s="85"/>
      <c r="W32" s="85"/>
      <c r="X32" s="85"/>
      <c r="Y32" s="85"/>
      <c r="Z32" s="85"/>
      <c r="AA32" s="86"/>
      <c r="AB32" s="86"/>
    </row>
    <row r="33" spans="1:28" s="1" customFormat="1" ht="13">
      <c r="A33" s="4"/>
      <c r="B33" s="4"/>
      <c r="C33" s="4"/>
      <c r="D33" s="4"/>
      <c r="E33" s="4"/>
      <c r="F33" s="273"/>
      <c r="G33" s="273"/>
      <c r="H33" s="273"/>
      <c r="I33" s="4"/>
      <c r="J33" s="4"/>
      <c r="K33" s="4"/>
      <c r="L33" s="4"/>
      <c r="M33" s="4"/>
      <c r="N33" s="12" t="s">
        <v>135</v>
      </c>
      <c r="O33" s="4"/>
      <c r="P33" s="4"/>
      <c r="Q33" s="4"/>
      <c r="R33" s="4"/>
      <c r="T33" s="4"/>
      <c r="U33" s="85"/>
      <c r="V33" s="85"/>
      <c r="W33" s="85"/>
      <c r="X33" s="85"/>
      <c r="Y33" s="85"/>
      <c r="Z33" s="85"/>
      <c r="AA33" s="86"/>
      <c r="AB33" s="86"/>
    </row>
    <row r="34" spans="1:28" s="1" customFormat="1" ht="13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12" t="s">
        <v>135</v>
      </c>
      <c r="O34" s="4"/>
      <c r="P34" s="4"/>
      <c r="Q34" s="4"/>
      <c r="R34" s="4"/>
      <c r="T34" s="4"/>
      <c r="U34" s="85"/>
      <c r="V34" s="85"/>
      <c r="W34" s="85"/>
      <c r="X34" s="85"/>
      <c r="Y34" s="85"/>
      <c r="Z34" s="85"/>
      <c r="AA34" s="86"/>
      <c r="AB34" s="86"/>
    </row>
    <row r="35" spans="1:28" s="1" customFormat="1" ht="13">
      <c r="B35" s="4"/>
      <c r="C35" s="4"/>
      <c r="D35" s="4"/>
      <c r="E35" s="4"/>
      <c r="F35" s="17"/>
      <c r="G35" s="17"/>
      <c r="H35" s="17"/>
      <c r="I35" s="4"/>
      <c r="J35" s="4"/>
      <c r="K35" s="4"/>
      <c r="L35" s="4"/>
      <c r="M35" s="4"/>
      <c r="N35" s="12"/>
      <c r="O35" s="4"/>
      <c r="P35" s="4"/>
      <c r="Q35" s="4"/>
      <c r="R35" s="4"/>
      <c r="T35" s="4"/>
      <c r="U35" s="85"/>
      <c r="V35" s="85"/>
      <c r="W35" s="85"/>
      <c r="X35" s="85"/>
      <c r="Y35" s="85"/>
      <c r="Z35" s="85"/>
      <c r="AA35" s="86"/>
      <c r="AB35" s="86"/>
    </row>
    <row r="36" spans="1:28" s="1" customFormat="1" ht="13">
      <c r="A36" s="4"/>
      <c r="B36" s="4"/>
      <c r="C36" s="4"/>
      <c r="D36" s="4"/>
      <c r="E36" s="4"/>
      <c r="F36" s="17"/>
      <c r="G36" s="17"/>
      <c r="H36" s="17"/>
      <c r="I36" s="4"/>
      <c r="J36" s="4"/>
      <c r="K36" s="4"/>
      <c r="L36" s="4"/>
      <c r="M36" s="4"/>
      <c r="N36" s="12"/>
      <c r="O36" s="4"/>
      <c r="P36" s="4"/>
      <c r="Q36" s="4"/>
      <c r="R36" s="4"/>
      <c r="T36" s="4"/>
      <c r="U36" s="85"/>
      <c r="V36" s="85"/>
      <c r="W36" s="85"/>
      <c r="X36" s="85"/>
      <c r="Y36" s="85"/>
      <c r="Z36" s="85"/>
      <c r="AA36" s="86"/>
      <c r="AB36" s="86"/>
    </row>
    <row r="37" spans="1:28" s="1" customFormat="1" ht="13">
      <c r="A37" s="4"/>
      <c r="B37" s="4"/>
      <c r="C37" s="4"/>
      <c r="D37" s="4"/>
      <c r="E37" s="4"/>
      <c r="F37" s="274"/>
      <c r="G37" s="274"/>
      <c r="H37" s="274"/>
      <c r="I37" s="274"/>
      <c r="J37" s="274"/>
      <c r="K37" s="274"/>
      <c r="L37" s="274"/>
      <c r="M37" s="274"/>
      <c r="N37" s="12"/>
      <c r="O37" s="4"/>
      <c r="P37" s="4"/>
      <c r="Q37" s="4"/>
      <c r="R37" s="4"/>
      <c r="T37" s="4"/>
      <c r="U37" s="85"/>
      <c r="V37" s="85"/>
      <c r="W37" s="85"/>
      <c r="X37" s="85"/>
      <c r="Y37" s="85"/>
      <c r="Z37" s="85"/>
      <c r="AA37" s="86"/>
      <c r="AB37" s="86"/>
    </row>
    <row r="38" spans="1:28" s="1" customFormat="1" ht="13">
      <c r="A38" s="4"/>
      <c r="B38" s="4"/>
      <c r="C38" s="4"/>
      <c r="D38" s="4"/>
      <c r="E38" s="4"/>
      <c r="F38" s="275"/>
      <c r="G38" s="275"/>
      <c r="H38" s="275"/>
      <c r="I38" s="275"/>
      <c r="J38" s="275"/>
      <c r="K38" s="275"/>
      <c r="L38" s="275"/>
      <c r="M38" s="275"/>
      <c r="N38" s="12"/>
      <c r="O38" s="4"/>
      <c r="P38" s="4"/>
      <c r="Q38" s="4"/>
      <c r="R38" s="4"/>
      <c r="T38" s="4"/>
      <c r="U38" s="85"/>
      <c r="V38" s="85"/>
      <c r="W38" s="85"/>
      <c r="X38" s="85"/>
      <c r="Y38" s="85"/>
      <c r="Z38" s="85"/>
      <c r="AA38" s="86"/>
      <c r="AB38" s="86"/>
    </row>
    <row r="39" spans="1:28" s="1" customFormat="1" ht="13">
      <c r="A39" s="4"/>
      <c r="B39" s="4"/>
      <c r="C39" s="4"/>
      <c r="D39" s="4"/>
      <c r="E39" s="4"/>
      <c r="F39" s="275"/>
      <c r="G39" s="275"/>
      <c r="H39" s="275"/>
      <c r="I39" s="275"/>
      <c r="J39" s="275"/>
      <c r="K39" s="275"/>
      <c r="L39" s="275"/>
      <c r="M39" s="275"/>
      <c r="N39" s="12"/>
      <c r="O39" s="4"/>
      <c r="P39" s="4"/>
      <c r="Q39" s="4"/>
      <c r="R39" s="4"/>
      <c r="T39" s="4"/>
      <c r="U39" s="85"/>
      <c r="V39" s="85"/>
      <c r="W39" s="85"/>
      <c r="X39" s="85"/>
      <c r="Y39" s="85"/>
      <c r="Z39" s="85"/>
      <c r="AA39" s="86"/>
      <c r="AB39" s="86"/>
    </row>
    <row r="40" spans="1:28" ht="12.5">
      <c r="G40" s="275"/>
      <c r="H40" s="275"/>
      <c r="I40" s="275"/>
      <c r="U40" s="85"/>
      <c r="V40" s="85"/>
      <c r="W40" s="85"/>
      <c r="X40" s="85"/>
      <c r="Y40" s="85"/>
      <c r="Z40" s="85"/>
      <c r="AA40" s="85"/>
      <c r="AB40" s="85"/>
    </row>
    <row r="41" spans="1:28" ht="12.5">
      <c r="A41" s="31" t="s">
        <v>166</v>
      </c>
      <c r="B41" s="31" t="s">
        <v>167</v>
      </c>
      <c r="C41" s="31"/>
      <c r="D41" s="31"/>
      <c r="E41" s="31"/>
      <c r="U41" s="85"/>
      <c r="V41" s="85"/>
      <c r="W41" s="85"/>
      <c r="X41" s="85"/>
      <c r="Y41" s="85"/>
      <c r="Z41" s="85"/>
      <c r="AA41" s="85"/>
      <c r="AB41" s="85"/>
    </row>
    <row r="42" spans="1:28" ht="12.5">
      <c r="G42" s="10"/>
      <c r="H42" s="10"/>
    </row>
    <row r="43" spans="1:28" ht="12.5"/>
    <row r="44" spans="1:28" ht="12.5"/>
    <row r="45" spans="1:28" ht="12.5"/>
    <row r="46" spans="1:28" ht="12.5"/>
    <row r="47" spans="1:28" ht="12.5"/>
    <row r="48" spans="1:28" ht="12.5"/>
    <row r="49" ht="12.5"/>
    <row r="50" ht="12.5"/>
    <row r="51" ht="12.5"/>
    <row r="52" ht="12.5"/>
    <row r="53" ht="12.5"/>
  </sheetData>
  <pageMargins left="0.74803149606299202" right="0.74803149606299202" top="0.98425196850393704" bottom="0.98425196850393704" header="0.511811023622047" footer="0.511811023622047"/>
  <pageSetup paperSize="9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autoPageBreaks="0" fitToPage="1"/>
  </sheetPr>
  <dimension ref="A1:Z63"/>
  <sheetViews>
    <sheetView showGridLines="0" topLeftCell="B1" zoomScale="85" zoomScaleNormal="85" workbookViewId="0">
      <pane ySplit="5" topLeftCell="A6" activePane="bottomLeft" state="frozen"/>
      <selection activeCell="A2" sqref="A2"/>
      <selection pane="bottomLeft" activeCell="J1" sqref="J1"/>
    </sheetView>
  </sheetViews>
  <sheetFormatPr defaultRowHeight="12.75" customHeight="1"/>
  <cols>
    <col min="1" max="1" width="1.54296875" style="4" customWidth="1"/>
    <col min="2" max="2" width="70" style="4" customWidth="1"/>
    <col min="3" max="3" width="13.453125" style="4" customWidth="1"/>
    <col min="4" max="4" width="14.1796875" style="4" customWidth="1"/>
    <col min="5" max="10" width="10.54296875" style="4" customWidth="1"/>
    <col min="11" max="12" width="10.54296875" style="3" bestFit="1" customWidth="1"/>
    <col min="13" max="13" width="11" style="4" customWidth="1"/>
    <col min="14" max="14" width="12.7265625" style="4" customWidth="1"/>
    <col min="15" max="17" width="11.81640625" style="4" customWidth="1"/>
    <col min="18" max="260" width="9" style="4"/>
    <col min="261" max="261" width="1.54296875" style="4" customWidth="1"/>
    <col min="262" max="262" width="43" style="4" customWidth="1"/>
    <col min="263" max="268" width="10.54296875" style="4" customWidth="1"/>
    <col min="269" max="270" width="9.54296875" style="4" bestFit="1" customWidth="1"/>
    <col min="271" max="516" width="9" style="4"/>
    <col min="517" max="517" width="1.54296875" style="4" customWidth="1"/>
    <col min="518" max="518" width="43" style="4" customWidth="1"/>
    <col min="519" max="524" width="10.54296875" style="4" customWidth="1"/>
    <col min="525" max="526" width="9.54296875" style="4" bestFit="1" customWidth="1"/>
    <col min="527" max="772" width="9" style="4"/>
    <col min="773" max="773" width="1.54296875" style="4" customWidth="1"/>
    <col min="774" max="774" width="43" style="4" customWidth="1"/>
    <col min="775" max="780" width="10.54296875" style="4" customWidth="1"/>
    <col min="781" max="782" width="9.54296875" style="4" bestFit="1" customWidth="1"/>
    <col min="783" max="1028" width="9" style="4"/>
    <col min="1029" max="1029" width="1.54296875" style="4" customWidth="1"/>
    <col min="1030" max="1030" width="43" style="4" customWidth="1"/>
    <col min="1031" max="1036" width="10.54296875" style="4" customWidth="1"/>
    <col min="1037" max="1038" width="9.54296875" style="4" bestFit="1" customWidth="1"/>
    <col min="1039" max="1284" width="9" style="4"/>
    <col min="1285" max="1285" width="1.54296875" style="4" customWidth="1"/>
    <col min="1286" max="1286" width="43" style="4" customWidth="1"/>
    <col min="1287" max="1292" width="10.54296875" style="4" customWidth="1"/>
    <col min="1293" max="1294" width="9.54296875" style="4" bestFit="1" customWidth="1"/>
    <col min="1295" max="1540" width="9" style="4"/>
    <col min="1541" max="1541" width="1.54296875" style="4" customWidth="1"/>
    <col min="1542" max="1542" width="43" style="4" customWidth="1"/>
    <col min="1543" max="1548" width="10.54296875" style="4" customWidth="1"/>
    <col min="1549" max="1550" width="9.54296875" style="4" bestFit="1" customWidth="1"/>
    <col min="1551" max="1796" width="9" style="4"/>
    <col min="1797" max="1797" width="1.54296875" style="4" customWidth="1"/>
    <col min="1798" max="1798" width="43" style="4" customWidth="1"/>
    <col min="1799" max="1804" width="10.54296875" style="4" customWidth="1"/>
    <col min="1805" max="1806" width="9.54296875" style="4" bestFit="1" customWidth="1"/>
    <col min="1807" max="2052" width="9" style="4"/>
    <col min="2053" max="2053" width="1.54296875" style="4" customWidth="1"/>
    <col min="2054" max="2054" width="43" style="4" customWidth="1"/>
    <col min="2055" max="2060" width="10.54296875" style="4" customWidth="1"/>
    <col min="2061" max="2062" width="9.54296875" style="4" bestFit="1" customWidth="1"/>
    <col min="2063" max="2308" width="9" style="4"/>
    <col min="2309" max="2309" width="1.54296875" style="4" customWidth="1"/>
    <col min="2310" max="2310" width="43" style="4" customWidth="1"/>
    <col min="2311" max="2316" width="10.54296875" style="4" customWidth="1"/>
    <col min="2317" max="2318" width="9.54296875" style="4" bestFit="1" customWidth="1"/>
    <col min="2319" max="2564" width="9" style="4"/>
    <col min="2565" max="2565" width="1.54296875" style="4" customWidth="1"/>
    <col min="2566" max="2566" width="43" style="4" customWidth="1"/>
    <col min="2567" max="2572" width="10.54296875" style="4" customWidth="1"/>
    <col min="2573" max="2574" width="9.54296875" style="4" bestFit="1" customWidth="1"/>
    <col min="2575" max="2820" width="9" style="4"/>
    <col min="2821" max="2821" width="1.54296875" style="4" customWidth="1"/>
    <col min="2822" max="2822" width="43" style="4" customWidth="1"/>
    <col min="2823" max="2828" width="10.54296875" style="4" customWidth="1"/>
    <col min="2829" max="2830" width="9.54296875" style="4" bestFit="1" customWidth="1"/>
    <col min="2831" max="3076" width="9" style="4"/>
    <col min="3077" max="3077" width="1.54296875" style="4" customWidth="1"/>
    <col min="3078" max="3078" width="43" style="4" customWidth="1"/>
    <col min="3079" max="3084" width="10.54296875" style="4" customWidth="1"/>
    <col min="3085" max="3086" width="9.54296875" style="4" bestFit="1" customWidth="1"/>
    <col min="3087" max="3332" width="9" style="4"/>
    <col min="3333" max="3333" width="1.54296875" style="4" customWidth="1"/>
    <col min="3334" max="3334" width="43" style="4" customWidth="1"/>
    <col min="3335" max="3340" width="10.54296875" style="4" customWidth="1"/>
    <col min="3341" max="3342" width="9.54296875" style="4" bestFit="1" customWidth="1"/>
    <col min="3343" max="3588" width="9" style="4"/>
    <col min="3589" max="3589" width="1.54296875" style="4" customWidth="1"/>
    <col min="3590" max="3590" width="43" style="4" customWidth="1"/>
    <col min="3591" max="3596" width="10.54296875" style="4" customWidth="1"/>
    <col min="3597" max="3598" width="9.54296875" style="4" bestFit="1" customWidth="1"/>
    <col min="3599" max="3844" width="9" style="4"/>
    <col min="3845" max="3845" width="1.54296875" style="4" customWidth="1"/>
    <col min="3846" max="3846" width="43" style="4" customWidth="1"/>
    <col min="3847" max="3852" width="10.54296875" style="4" customWidth="1"/>
    <col min="3853" max="3854" width="9.54296875" style="4" bestFit="1" customWidth="1"/>
    <col min="3855" max="4100" width="9" style="4"/>
    <col min="4101" max="4101" width="1.54296875" style="4" customWidth="1"/>
    <col min="4102" max="4102" width="43" style="4" customWidth="1"/>
    <col min="4103" max="4108" width="10.54296875" style="4" customWidth="1"/>
    <col min="4109" max="4110" width="9.54296875" style="4" bestFit="1" customWidth="1"/>
    <col min="4111" max="4356" width="9" style="4"/>
    <col min="4357" max="4357" width="1.54296875" style="4" customWidth="1"/>
    <col min="4358" max="4358" width="43" style="4" customWidth="1"/>
    <col min="4359" max="4364" width="10.54296875" style="4" customWidth="1"/>
    <col min="4365" max="4366" width="9.54296875" style="4" bestFit="1" customWidth="1"/>
    <col min="4367" max="4612" width="9" style="4"/>
    <col min="4613" max="4613" width="1.54296875" style="4" customWidth="1"/>
    <col min="4614" max="4614" width="43" style="4" customWidth="1"/>
    <col min="4615" max="4620" width="10.54296875" style="4" customWidth="1"/>
    <col min="4621" max="4622" width="9.54296875" style="4" bestFit="1" customWidth="1"/>
    <col min="4623" max="4868" width="9" style="4"/>
    <col min="4869" max="4869" width="1.54296875" style="4" customWidth="1"/>
    <col min="4870" max="4870" width="43" style="4" customWidth="1"/>
    <col min="4871" max="4876" width="10.54296875" style="4" customWidth="1"/>
    <col min="4877" max="4878" width="9.54296875" style="4" bestFit="1" customWidth="1"/>
    <col min="4879" max="5124" width="9" style="4"/>
    <col min="5125" max="5125" width="1.54296875" style="4" customWidth="1"/>
    <col min="5126" max="5126" width="43" style="4" customWidth="1"/>
    <col min="5127" max="5132" width="10.54296875" style="4" customWidth="1"/>
    <col min="5133" max="5134" width="9.54296875" style="4" bestFit="1" customWidth="1"/>
    <col min="5135" max="5380" width="9" style="4"/>
    <col min="5381" max="5381" width="1.54296875" style="4" customWidth="1"/>
    <col min="5382" max="5382" width="43" style="4" customWidth="1"/>
    <col min="5383" max="5388" width="10.54296875" style="4" customWidth="1"/>
    <col min="5389" max="5390" width="9.54296875" style="4" bestFit="1" customWidth="1"/>
    <col min="5391" max="5636" width="9" style="4"/>
    <col min="5637" max="5637" width="1.54296875" style="4" customWidth="1"/>
    <col min="5638" max="5638" width="43" style="4" customWidth="1"/>
    <col min="5639" max="5644" width="10.54296875" style="4" customWidth="1"/>
    <col min="5645" max="5646" width="9.54296875" style="4" bestFit="1" customWidth="1"/>
    <col min="5647" max="5892" width="9" style="4"/>
    <col min="5893" max="5893" width="1.54296875" style="4" customWidth="1"/>
    <col min="5894" max="5894" width="43" style="4" customWidth="1"/>
    <col min="5895" max="5900" width="10.54296875" style="4" customWidth="1"/>
    <col min="5901" max="5902" width="9.54296875" style="4" bestFit="1" customWidth="1"/>
    <col min="5903" max="6148" width="9" style="4"/>
    <col min="6149" max="6149" width="1.54296875" style="4" customWidth="1"/>
    <col min="6150" max="6150" width="43" style="4" customWidth="1"/>
    <col min="6151" max="6156" width="10.54296875" style="4" customWidth="1"/>
    <col min="6157" max="6158" width="9.54296875" style="4" bestFit="1" customWidth="1"/>
    <col min="6159" max="6404" width="9" style="4"/>
    <col min="6405" max="6405" width="1.54296875" style="4" customWidth="1"/>
    <col min="6406" max="6406" width="43" style="4" customWidth="1"/>
    <col min="6407" max="6412" width="10.54296875" style="4" customWidth="1"/>
    <col min="6413" max="6414" width="9.54296875" style="4" bestFit="1" customWidth="1"/>
    <col min="6415" max="6660" width="9" style="4"/>
    <col min="6661" max="6661" width="1.54296875" style="4" customWidth="1"/>
    <col min="6662" max="6662" width="43" style="4" customWidth="1"/>
    <col min="6663" max="6668" width="10.54296875" style="4" customWidth="1"/>
    <col min="6669" max="6670" width="9.54296875" style="4" bestFit="1" customWidth="1"/>
    <col min="6671" max="6916" width="9" style="4"/>
    <col min="6917" max="6917" width="1.54296875" style="4" customWidth="1"/>
    <col min="6918" max="6918" width="43" style="4" customWidth="1"/>
    <col min="6919" max="6924" width="10.54296875" style="4" customWidth="1"/>
    <col min="6925" max="6926" width="9.54296875" style="4" bestFit="1" customWidth="1"/>
    <col min="6927" max="7172" width="9" style="4"/>
    <col min="7173" max="7173" width="1.54296875" style="4" customWidth="1"/>
    <col min="7174" max="7174" width="43" style="4" customWidth="1"/>
    <col min="7175" max="7180" width="10.54296875" style="4" customWidth="1"/>
    <col min="7181" max="7182" width="9.54296875" style="4" bestFit="1" customWidth="1"/>
    <col min="7183" max="7428" width="9" style="4"/>
    <col min="7429" max="7429" width="1.54296875" style="4" customWidth="1"/>
    <col min="7430" max="7430" width="43" style="4" customWidth="1"/>
    <col min="7431" max="7436" width="10.54296875" style="4" customWidth="1"/>
    <col min="7437" max="7438" width="9.54296875" style="4" bestFit="1" customWidth="1"/>
    <col min="7439" max="7684" width="9" style="4"/>
    <col min="7685" max="7685" width="1.54296875" style="4" customWidth="1"/>
    <col min="7686" max="7686" width="43" style="4" customWidth="1"/>
    <col min="7687" max="7692" width="10.54296875" style="4" customWidth="1"/>
    <col min="7693" max="7694" width="9.54296875" style="4" bestFit="1" customWidth="1"/>
    <col min="7695" max="7940" width="9" style="4"/>
    <col min="7941" max="7941" width="1.54296875" style="4" customWidth="1"/>
    <col min="7942" max="7942" width="43" style="4" customWidth="1"/>
    <col min="7943" max="7948" width="10.54296875" style="4" customWidth="1"/>
    <col min="7949" max="7950" width="9.54296875" style="4" bestFit="1" customWidth="1"/>
    <col min="7951" max="8196" width="9" style="4"/>
    <col min="8197" max="8197" width="1.54296875" style="4" customWidth="1"/>
    <col min="8198" max="8198" width="43" style="4" customWidth="1"/>
    <col min="8199" max="8204" width="10.54296875" style="4" customWidth="1"/>
    <col min="8205" max="8206" width="9.54296875" style="4" bestFit="1" customWidth="1"/>
    <col min="8207" max="8452" width="9" style="4"/>
    <col min="8453" max="8453" width="1.54296875" style="4" customWidth="1"/>
    <col min="8454" max="8454" width="43" style="4" customWidth="1"/>
    <col min="8455" max="8460" width="10.54296875" style="4" customWidth="1"/>
    <col min="8461" max="8462" width="9.54296875" style="4" bestFit="1" customWidth="1"/>
    <col min="8463" max="8708" width="9" style="4"/>
    <col min="8709" max="8709" width="1.54296875" style="4" customWidth="1"/>
    <col min="8710" max="8710" width="43" style="4" customWidth="1"/>
    <col min="8711" max="8716" width="10.54296875" style="4" customWidth="1"/>
    <col min="8717" max="8718" width="9.54296875" style="4" bestFit="1" customWidth="1"/>
    <col min="8719" max="8964" width="9" style="4"/>
    <col min="8965" max="8965" width="1.54296875" style="4" customWidth="1"/>
    <col min="8966" max="8966" width="43" style="4" customWidth="1"/>
    <col min="8967" max="8972" width="10.54296875" style="4" customWidth="1"/>
    <col min="8973" max="8974" width="9.54296875" style="4" bestFit="1" customWidth="1"/>
    <col min="8975" max="9220" width="9" style="4"/>
    <col min="9221" max="9221" width="1.54296875" style="4" customWidth="1"/>
    <col min="9222" max="9222" width="43" style="4" customWidth="1"/>
    <col min="9223" max="9228" width="10.54296875" style="4" customWidth="1"/>
    <col min="9229" max="9230" width="9.54296875" style="4" bestFit="1" customWidth="1"/>
    <col min="9231" max="9476" width="9" style="4"/>
    <col min="9477" max="9477" width="1.54296875" style="4" customWidth="1"/>
    <col min="9478" max="9478" width="43" style="4" customWidth="1"/>
    <col min="9479" max="9484" width="10.54296875" style="4" customWidth="1"/>
    <col min="9485" max="9486" width="9.54296875" style="4" bestFit="1" customWidth="1"/>
    <col min="9487" max="9732" width="9" style="4"/>
    <col min="9733" max="9733" width="1.54296875" style="4" customWidth="1"/>
    <col min="9734" max="9734" width="43" style="4" customWidth="1"/>
    <col min="9735" max="9740" width="10.54296875" style="4" customWidth="1"/>
    <col min="9741" max="9742" width="9.54296875" style="4" bestFit="1" customWidth="1"/>
    <col min="9743" max="9988" width="9" style="4"/>
    <col min="9989" max="9989" width="1.54296875" style="4" customWidth="1"/>
    <col min="9990" max="9990" width="43" style="4" customWidth="1"/>
    <col min="9991" max="9996" width="10.54296875" style="4" customWidth="1"/>
    <col min="9997" max="9998" width="9.54296875" style="4" bestFit="1" customWidth="1"/>
    <col min="9999" max="10244" width="9" style="4"/>
    <col min="10245" max="10245" width="1.54296875" style="4" customWidth="1"/>
    <col min="10246" max="10246" width="43" style="4" customWidth="1"/>
    <col min="10247" max="10252" width="10.54296875" style="4" customWidth="1"/>
    <col min="10253" max="10254" width="9.54296875" style="4" bestFit="1" customWidth="1"/>
    <col min="10255" max="10500" width="9" style="4"/>
    <col min="10501" max="10501" width="1.54296875" style="4" customWidth="1"/>
    <col min="10502" max="10502" width="43" style="4" customWidth="1"/>
    <col min="10503" max="10508" width="10.54296875" style="4" customWidth="1"/>
    <col min="10509" max="10510" width="9.54296875" style="4" bestFit="1" customWidth="1"/>
    <col min="10511" max="10756" width="9" style="4"/>
    <col min="10757" max="10757" width="1.54296875" style="4" customWidth="1"/>
    <col min="10758" max="10758" width="43" style="4" customWidth="1"/>
    <col min="10759" max="10764" width="10.54296875" style="4" customWidth="1"/>
    <col min="10765" max="10766" width="9.54296875" style="4" bestFit="1" customWidth="1"/>
    <col min="10767" max="11012" width="9" style="4"/>
    <col min="11013" max="11013" width="1.54296875" style="4" customWidth="1"/>
    <col min="11014" max="11014" width="43" style="4" customWidth="1"/>
    <col min="11015" max="11020" width="10.54296875" style="4" customWidth="1"/>
    <col min="11021" max="11022" width="9.54296875" style="4" bestFit="1" customWidth="1"/>
    <col min="11023" max="11268" width="9" style="4"/>
    <col min="11269" max="11269" width="1.54296875" style="4" customWidth="1"/>
    <col min="11270" max="11270" width="43" style="4" customWidth="1"/>
    <col min="11271" max="11276" width="10.54296875" style="4" customWidth="1"/>
    <col min="11277" max="11278" width="9.54296875" style="4" bestFit="1" customWidth="1"/>
    <col min="11279" max="11524" width="9" style="4"/>
    <col min="11525" max="11525" width="1.54296875" style="4" customWidth="1"/>
    <col min="11526" max="11526" width="43" style="4" customWidth="1"/>
    <col min="11527" max="11532" width="10.54296875" style="4" customWidth="1"/>
    <col min="11533" max="11534" width="9.54296875" style="4" bestFit="1" customWidth="1"/>
    <col min="11535" max="11780" width="9" style="4"/>
    <col min="11781" max="11781" width="1.54296875" style="4" customWidth="1"/>
    <col min="11782" max="11782" width="43" style="4" customWidth="1"/>
    <col min="11783" max="11788" width="10.54296875" style="4" customWidth="1"/>
    <col min="11789" max="11790" width="9.54296875" style="4" bestFit="1" customWidth="1"/>
    <col min="11791" max="12036" width="9" style="4"/>
    <col min="12037" max="12037" width="1.54296875" style="4" customWidth="1"/>
    <col min="12038" max="12038" width="43" style="4" customWidth="1"/>
    <col min="12039" max="12044" width="10.54296875" style="4" customWidth="1"/>
    <col min="12045" max="12046" width="9.54296875" style="4" bestFit="1" customWidth="1"/>
    <col min="12047" max="12292" width="9" style="4"/>
    <col min="12293" max="12293" width="1.54296875" style="4" customWidth="1"/>
    <col min="12294" max="12294" width="43" style="4" customWidth="1"/>
    <col min="12295" max="12300" width="10.54296875" style="4" customWidth="1"/>
    <col min="12301" max="12302" width="9.54296875" style="4" bestFit="1" customWidth="1"/>
    <col min="12303" max="12548" width="9" style="4"/>
    <col min="12549" max="12549" width="1.54296875" style="4" customWidth="1"/>
    <col min="12550" max="12550" width="43" style="4" customWidth="1"/>
    <col min="12551" max="12556" width="10.54296875" style="4" customWidth="1"/>
    <col min="12557" max="12558" width="9.54296875" style="4" bestFit="1" customWidth="1"/>
    <col min="12559" max="12804" width="9" style="4"/>
    <col min="12805" max="12805" width="1.54296875" style="4" customWidth="1"/>
    <col min="12806" max="12806" width="43" style="4" customWidth="1"/>
    <col min="12807" max="12812" width="10.54296875" style="4" customWidth="1"/>
    <col min="12813" max="12814" width="9.54296875" style="4" bestFit="1" customWidth="1"/>
    <col min="12815" max="13060" width="9" style="4"/>
    <col min="13061" max="13061" width="1.54296875" style="4" customWidth="1"/>
    <col min="13062" max="13062" width="43" style="4" customWidth="1"/>
    <col min="13063" max="13068" width="10.54296875" style="4" customWidth="1"/>
    <col min="13069" max="13070" width="9.54296875" style="4" bestFit="1" customWidth="1"/>
    <col min="13071" max="13316" width="9" style="4"/>
    <col min="13317" max="13317" width="1.54296875" style="4" customWidth="1"/>
    <col min="13318" max="13318" width="43" style="4" customWidth="1"/>
    <col min="13319" max="13324" width="10.54296875" style="4" customWidth="1"/>
    <col min="13325" max="13326" width="9.54296875" style="4" bestFit="1" customWidth="1"/>
    <col min="13327" max="13572" width="9" style="4"/>
    <col min="13573" max="13573" width="1.54296875" style="4" customWidth="1"/>
    <col min="13574" max="13574" width="43" style="4" customWidth="1"/>
    <col min="13575" max="13580" width="10.54296875" style="4" customWidth="1"/>
    <col min="13581" max="13582" width="9.54296875" style="4" bestFit="1" customWidth="1"/>
    <col min="13583" max="13828" width="9" style="4"/>
    <col min="13829" max="13829" width="1.54296875" style="4" customWidth="1"/>
    <col min="13830" max="13830" width="43" style="4" customWidth="1"/>
    <col min="13831" max="13836" width="10.54296875" style="4" customWidth="1"/>
    <col min="13837" max="13838" width="9.54296875" style="4" bestFit="1" customWidth="1"/>
    <col min="13839" max="14084" width="9" style="4"/>
    <col min="14085" max="14085" width="1.54296875" style="4" customWidth="1"/>
    <col min="14086" max="14086" width="43" style="4" customWidth="1"/>
    <col min="14087" max="14092" width="10.54296875" style="4" customWidth="1"/>
    <col min="14093" max="14094" width="9.54296875" style="4" bestFit="1" customWidth="1"/>
    <col min="14095" max="14340" width="9" style="4"/>
    <col min="14341" max="14341" width="1.54296875" style="4" customWidth="1"/>
    <col min="14342" max="14342" width="43" style="4" customWidth="1"/>
    <col min="14343" max="14348" width="10.54296875" style="4" customWidth="1"/>
    <col min="14349" max="14350" width="9.54296875" style="4" bestFit="1" customWidth="1"/>
    <col min="14351" max="14596" width="9" style="4"/>
    <col min="14597" max="14597" width="1.54296875" style="4" customWidth="1"/>
    <col min="14598" max="14598" width="43" style="4" customWidth="1"/>
    <col min="14599" max="14604" width="10.54296875" style="4" customWidth="1"/>
    <col min="14605" max="14606" width="9.54296875" style="4" bestFit="1" customWidth="1"/>
    <col min="14607" max="14852" width="9" style="4"/>
    <col min="14853" max="14853" width="1.54296875" style="4" customWidth="1"/>
    <col min="14854" max="14854" width="43" style="4" customWidth="1"/>
    <col min="14855" max="14860" width="10.54296875" style="4" customWidth="1"/>
    <col min="14861" max="14862" width="9.54296875" style="4" bestFit="1" customWidth="1"/>
    <col min="14863" max="15108" width="9" style="4"/>
    <col min="15109" max="15109" width="1.54296875" style="4" customWidth="1"/>
    <col min="15110" max="15110" width="43" style="4" customWidth="1"/>
    <col min="15111" max="15116" width="10.54296875" style="4" customWidth="1"/>
    <col min="15117" max="15118" width="9.54296875" style="4" bestFit="1" customWidth="1"/>
    <col min="15119" max="15364" width="9" style="4"/>
    <col min="15365" max="15365" width="1.54296875" style="4" customWidth="1"/>
    <col min="15366" max="15366" width="43" style="4" customWidth="1"/>
    <col min="15367" max="15372" width="10.54296875" style="4" customWidth="1"/>
    <col min="15373" max="15374" width="9.54296875" style="4" bestFit="1" customWidth="1"/>
    <col min="15375" max="15620" width="9" style="4"/>
    <col min="15621" max="15621" width="1.54296875" style="4" customWidth="1"/>
    <col min="15622" max="15622" width="43" style="4" customWidth="1"/>
    <col min="15623" max="15628" width="10.54296875" style="4" customWidth="1"/>
    <col min="15629" max="15630" width="9.54296875" style="4" bestFit="1" customWidth="1"/>
    <col min="15631" max="15876" width="9" style="4"/>
    <col min="15877" max="15877" width="1.54296875" style="4" customWidth="1"/>
    <col min="15878" max="15878" width="43" style="4" customWidth="1"/>
    <col min="15879" max="15884" width="10.54296875" style="4" customWidth="1"/>
    <col min="15885" max="15886" width="9.54296875" style="4" bestFit="1" customWidth="1"/>
    <col min="15887" max="16132" width="9" style="4"/>
    <col min="16133" max="16133" width="1.54296875" style="4" customWidth="1"/>
    <col min="16134" max="16134" width="43" style="4" customWidth="1"/>
    <col min="16135" max="16140" width="10.54296875" style="4" customWidth="1"/>
    <col min="16141" max="16142" width="9.54296875" style="4" bestFit="1" customWidth="1"/>
    <col min="16143" max="16383" width="9" style="4"/>
    <col min="16384" max="16384" width="9" style="4" customWidth="1"/>
  </cols>
  <sheetData>
    <row r="1" spans="1:18" ht="18">
      <c r="A1" s="19" t="str">
        <f>CoName</f>
        <v>ServiceNow</v>
      </c>
      <c r="I1" s="203"/>
    </row>
    <row r="2" spans="1:18" ht="12.5">
      <c r="A2" s="4" t="s">
        <v>14</v>
      </c>
      <c r="I2" s="203"/>
    </row>
    <row r="3" spans="1:18" ht="12.75" customHeight="1">
      <c r="I3" s="203"/>
    </row>
    <row r="4" spans="1:18" s="16" customFormat="1" ht="18">
      <c r="A4" s="19"/>
      <c r="B4" s="20"/>
      <c r="C4" s="21" t="s">
        <v>142</v>
      </c>
      <c r="D4" s="21" t="s">
        <v>142</v>
      </c>
      <c r="E4" s="21" t="s">
        <v>142</v>
      </c>
      <c r="F4" s="21" t="s">
        <v>142</v>
      </c>
      <c r="G4" s="21" t="s">
        <v>142</v>
      </c>
      <c r="H4" s="21" t="s">
        <v>142</v>
      </c>
      <c r="I4" s="600" t="s">
        <v>143</v>
      </c>
      <c r="J4" s="21" t="s">
        <v>143</v>
      </c>
      <c r="K4" s="21" t="s">
        <v>143</v>
      </c>
      <c r="L4" s="21" t="s">
        <v>143</v>
      </c>
      <c r="M4" s="21" t="s">
        <v>143</v>
      </c>
      <c r="N4" s="21" t="s">
        <v>143</v>
      </c>
      <c r="O4" s="21" t="s">
        <v>143</v>
      </c>
      <c r="P4" s="21" t="s">
        <v>143</v>
      </c>
      <c r="Q4" s="21" t="s">
        <v>143</v>
      </c>
    </row>
    <row r="5" spans="1:18" s="16" customFormat="1" ht="18.5" thickBot="1">
      <c r="A5" s="22" t="s">
        <v>168</v>
      </c>
      <c r="B5" s="23"/>
      <c r="C5" s="32">
        <v>2020</v>
      </c>
      <c r="D5" s="32">
        <f>C5+1</f>
        <v>2021</v>
      </c>
      <c r="E5" s="32">
        <f t="shared" ref="E5:O5" si="0">D5+1</f>
        <v>2022</v>
      </c>
      <c r="F5" s="32">
        <f t="shared" si="0"/>
        <v>2023</v>
      </c>
      <c r="G5" s="32">
        <f t="shared" si="0"/>
        <v>2024</v>
      </c>
      <c r="H5" s="32">
        <f t="shared" si="0"/>
        <v>2025</v>
      </c>
      <c r="I5" s="601">
        <f t="shared" si="0"/>
        <v>2026</v>
      </c>
      <c r="J5" s="32">
        <f t="shared" si="0"/>
        <v>2027</v>
      </c>
      <c r="K5" s="32">
        <f t="shared" si="0"/>
        <v>2028</v>
      </c>
      <c r="L5" s="32">
        <f t="shared" si="0"/>
        <v>2029</v>
      </c>
      <c r="M5" s="32">
        <f t="shared" si="0"/>
        <v>2030</v>
      </c>
      <c r="N5" s="32">
        <f t="shared" si="0"/>
        <v>2031</v>
      </c>
      <c r="O5" s="32">
        <f t="shared" si="0"/>
        <v>2032</v>
      </c>
      <c r="P5" s="32">
        <f t="shared" ref="P5" si="1">O5+1</f>
        <v>2033</v>
      </c>
      <c r="Q5" s="32">
        <f t="shared" ref="Q5" si="2">P5+1</f>
        <v>2034</v>
      </c>
    </row>
    <row r="6" spans="1:18" ht="13" thickTop="1">
      <c r="I6" s="203"/>
      <c r="K6" s="4"/>
      <c r="L6" s="4"/>
    </row>
    <row r="7" spans="1:18" ht="12.5">
      <c r="E7" s="9"/>
      <c r="F7" s="9"/>
      <c r="G7" s="6"/>
      <c r="H7" s="6"/>
      <c r="I7" s="602"/>
      <c r="J7" s="6"/>
      <c r="K7" s="6"/>
      <c r="L7" s="6"/>
    </row>
    <row r="8" spans="1:18" ht="13">
      <c r="A8" s="276" t="s">
        <v>168</v>
      </c>
      <c r="B8" s="276"/>
      <c r="C8" s="276"/>
      <c r="D8" s="276"/>
      <c r="E8" s="276"/>
      <c r="F8" s="276"/>
      <c r="G8" s="276"/>
      <c r="H8" s="276"/>
      <c r="I8" s="603"/>
      <c r="J8" s="276"/>
      <c r="K8" s="276"/>
      <c r="L8" s="276"/>
      <c r="M8" s="276"/>
      <c r="N8" s="276"/>
      <c r="O8" s="276"/>
      <c r="P8" s="276"/>
      <c r="Q8" s="276"/>
    </row>
    <row r="9" spans="1:18" ht="13">
      <c r="A9" s="77"/>
      <c r="B9" s="78"/>
      <c r="C9" s="77"/>
      <c r="D9" s="77"/>
      <c r="E9" s="77"/>
      <c r="F9" s="77"/>
      <c r="G9" s="77"/>
      <c r="H9" s="77"/>
      <c r="I9" s="604">
        <f>-I49</f>
        <v>0</v>
      </c>
      <c r="J9" s="77"/>
      <c r="K9" s="77"/>
      <c r="L9" s="77"/>
      <c r="M9" s="77"/>
      <c r="N9" s="77"/>
      <c r="O9" s="77"/>
      <c r="P9" s="77"/>
      <c r="Q9" s="77"/>
    </row>
    <row r="10" spans="1:18" ht="13">
      <c r="A10" s="77"/>
      <c r="I10" s="203"/>
    </row>
    <row r="11" spans="1:18" ht="12.5">
      <c r="B11" s="4" t="s">
        <v>169</v>
      </c>
      <c r="C11" s="129">
        <v>1676</v>
      </c>
      <c r="D11" s="129">
        <v>1728</v>
      </c>
      <c r="E11" s="129">
        <v>1470</v>
      </c>
      <c r="F11" s="129">
        <v>1897</v>
      </c>
      <c r="G11" s="129">
        <v>2304</v>
      </c>
      <c r="H11" s="129">
        <v>3726</v>
      </c>
      <c r="I11" s="606">
        <f>H11+CFS!I32</f>
        <v>5447.0450486253194</v>
      </c>
      <c r="J11" s="132">
        <f>I11+CFS!J32</f>
        <v>7409.388571430145</v>
      </c>
      <c r="K11" s="132">
        <f>J11+CFS!K32</f>
        <v>10199.962666060988</v>
      </c>
      <c r="L11" s="132">
        <f>K11+CFS!L32</f>
        <v>13607.562546612871</v>
      </c>
      <c r="M11" s="132">
        <f>L11+CFS!M32</f>
        <v>19223.100374606613</v>
      </c>
      <c r="N11" s="132">
        <f>M11+CFS!N32</f>
        <v>27705.275943389475</v>
      </c>
      <c r="O11" s="132">
        <f>N11+CFS!O32</f>
        <v>36814.716512572777</v>
      </c>
      <c r="P11" s="132">
        <f>O11+CFS!P32</f>
        <v>47072.425266345876</v>
      </c>
      <c r="Q11" s="132">
        <f>P11+CFS!Q32</f>
        <v>59673.704945394107</v>
      </c>
    </row>
    <row r="12" spans="1:18" ht="13">
      <c r="B12" s="370" t="s">
        <v>170</v>
      </c>
      <c r="C12" s="369"/>
      <c r="D12" s="369"/>
      <c r="E12" s="369"/>
      <c r="F12" s="369"/>
      <c r="G12" s="369"/>
      <c r="H12" s="369"/>
      <c r="I12" s="614">
        <v>422</v>
      </c>
      <c r="J12" s="615">
        <v>1252</v>
      </c>
      <c r="K12" s="615">
        <v>2140</v>
      </c>
      <c r="L12" s="615">
        <v>2597</v>
      </c>
      <c r="M12" s="615">
        <v>3103</v>
      </c>
      <c r="N12" s="615">
        <v>2405</v>
      </c>
      <c r="O12" s="615">
        <v>2561</v>
      </c>
      <c r="P12" s="615">
        <v>2520</v>
      </c>
      <c r="Q12" s="615">
        <v>994</v>
      </c>
      <c r="R12" s="4" t="s">
        <v>171</v>
      </c>
    </row>
    <row r="13" spans="1:18" ht="13">
      <c r="A13" s="1"/>
      <c r="B13" s="4" t="s">
        <v>172</v>
      </c>
      <c r="C13" s="129">
        <v>1415</v>
      </c>
      <c r="D13" s="129">
        <v>1576</v>
      </c>
      <c r="E13" s="131">
        <v>2810</v>
      </c>
      <c r="F13" s="131">
        <v>2980</v>
      </c>
      <c r="G13" s="131">
        <v>3458</v>
      </c>
      <c r="H13" s="129">
        <v>2558</v>
      </c>
      <c r="I13" s="606">
        <f>Assumptions!J69</f>
        <v>2950.7</v>
      </c>
      <c r="J13" s="132">
        <f>Assumptions!K69</f>
        <v>3666.1150560000001</v>
      </c>
      <c r="K13" s="132">
        <f>Assumptions!L69</f>
        <v>4490.6952891599994</v>
      </c>
      <c r="L13" s="132">
        <f>Assumptions!M69</f>
        <v>5236.6196151023996</v>
      </c>
      <c r="M13" s="132">
        <f>Assumptions!N69</f>
        <v>5999.7925393361757</v>
      </c>
      <c r="N13" s="132">
        <f>Assumptions!O69</f>
        <v>6580.3533775823153</v>
      </c>
      <c r="O13" s="132">
        <f>Assumptions!P69</f>
        <v>7177.0464380918993</v>
      </c>
      <c r="P13" s="132">
        <f>Assumptions!Q69</f>
        <v>7724.5262625360892</v>
      </c>
      <c r="Q13" s="132">
        <f>Assumptions!R69</f>
        <v>8311.2544095208941</v>
      </c>
    </row>
    <row r="14" spans="1:18" ht="12.5">
      <c r="B14" s="4" t="s">
        <v>173</v>
      </c>
      <c r="C14" s="129">
        <v>1009</v>
      </c>
      <c r="D14" s="129">
        <v>1390</v>
      </c>
      <c r="E14" s="131">
        <v>1725</v>
      </c>
      <c r="F14" s="131">
        <v>2036</v>
      </c>
      <c r="G14" s="131">
        <v>2240</v>
      </c>
      <c r="H14" s="129">
        <v>2627</v>
      </c>
      <c r="I14" s="606">
        <f>Assumptions!J66</f>
        <v>3431.7046004808358</v>
      </c>
      <c r="J14" s="132">
        <f>Assumptions!K66</f>
        <v>4263.7421301952954</v>
      </c>
      <c r="K14" s="132">
        <f>Assumptions!L66</f>
        <v>5222.7402593174456</v>
      </c>
      <c r="L14" s="132">
        <f>Assumptions!M66</f>
        <v>6090.2604887366006</v>
      </c>
      <c r="M14" s="132">
        <f>Assumptions!N66</f>
        <v>6977.8410747180487</v>
      </c>
      <c r="N14" s="132">
        <f>Assumptions!O66</f>
        <v>7653.0412982135886</v>
      </c>
      <c r="O14" s="132">
        <f>Assumptions!P66</f>
        <v>8347.0035176278725</v>
      </c>
      <c r="P14" s="132">
        <f>Assumptions!Q66</f>
        <v>8983.7300680110257</v>
      </c>
      <c r="Q14" s="132">
        <f>Assumptions!R66</f>
        <v>9666.1029562203821</v>
      </c>
    </row>
    <row r="15" spans="1:18" ht="12.5">
      <c r="B15" t="s">
        <v>174</v>
      </c>
      <c r="C15" s="129">
        <v>191</v>
      </c>
      <c r="D15" s="129">
        <v>223</v>
      </c>
      <c r="E15" s="131">
        <v>280</v>
      </c>
      <c r="F15" s="131">
        <v>403</v>
      </c>
      <c r="G15" s="131">
        <v>668</v>
      </c>
      <c r="H15" s="129">
        <v>970</v>
      </c>
      <c r="I15" s="606">
        <f>Assumptions!J75</f>
        <v>1098.567000911577</v>
      </c>
      <c r="J15" s="132">
        <f>Assumptions!K75</f>
        <v>1322.2674247219691</v>
      </c>
      <c r="K15" s="132">
        <f>Assumptions!L75</f>
        <v>1619.6709608146762</v>
      </c>
      <c r="L15" s="132">
        <f>Assumptions!M75</f>
        <v>1888.7054625789133</v>
      </c>
      <c r="M15" s="132">
        <f>Assumptions!N75</f>
        <v>1884.7402797727586</v>
      </c>
      <c r="N15" s="132">
        <f>Assumptions!O75</f>
        <v>1913.9947393174102</v>
      </c>
      <c r="O15" s="132">
        <f>Assumptions!P75</f>
        <v>2004.049813831735</v>
      </c>
      <c r="P15" s="132">
        <f>Assumptions!Q75</f>
        <v>2156.9228445022327</v>
      </c>
      <c r="Q15" s="132">
        <f>Assumptions!R75</f>
        <v>2127.3589346444355</v>
      </c>
    </row>
    <row r="16" spans="1:18" ht="12.5">
      <c r="B16" s="4" t="s">
        <v>175</v>
      </c>
      <c r="C16" s="129">
        <v>231</v>
      </c>
      <c r="D16" s="129">
        <v>302</v>
      </c>
      <c r="E16" s="131">
        <v>369</v>
      </c>
      <c r="F16" s="131">
        <v>461</v>
      </c>
      <c r="G16" s="131">
        <v>518</v>
      </c>
      <c r="H16" s="129">
        <v>590</v>
      </c>
      <c r="I16" s="607">
        <v>687.5</v>
      </c>
      <c r="J16" s="133">
        <v>780.3</v>
      </c>
      <c r="K16" s="133">
        <v>897.3</v>
      </c>
      <c r="L16" s="133">
        <v>1031.9000000000001</v>
      </c>
      <c r="M16" s="133">
        <v>1186.7</v>
      </c>
      <c r="N16" s="133">
        <v>1364.7</v>
      </c>
      <c r="O16" s="133">
        <v>1569.4</v>
      </c>
      <c r="P16" s="133">
        <v>1804.82</v>
      </c>
      <c r="Q16" s="133">
        <v>2075.5500000000002</v>
      </c>
      <c r="R16" s="4" t="s">
        <v>176</v>
      </c>
    </row>
    <row r="17" spans="1:26" s="1" customFormat="1" ht="13">
      <c r="B17" s="1" t="s">
        <v>177</v>
      </c>
      <c r="C17" s="134">
        <f t="shared" ref="C17:G17" si="3">C11+C13+C14+C16+C15</f>
        <v>4522</v>
      </c>
      <c r="D17" s="134">
        <f t="shared" si="3"/>
        <v>5219</v>
      </c>
      <c r="E17" s="134">
        <f t="shared" si="3"/>
        <v>6654</v>
      </c>
      <c r="F17" s="134">
        <f t="shared" si="3"/>
        <v>7777</v>
      </c>
      <c r="G17" s="134">
        <f t="shared" si="3"/>
        <v>9188</v>
      </c>
      <c r="H17" s="134">
        <f>H11+H13+H14+H16+H15</f>
        <v>10471</v>
      </c>
      <c r="I17" s="608">
        <f t="shared" ref="I17:Q17" si="4">SUM(I11:I16)</f>
        <v>14037.516650017731</v>
      </c>
      <c r="J17" s="135">
        <f t="shared" si="4"/>
        <v>18693.81318234741</v>
      </c>
      <c r="K17" s="135">
        <f t="shared" si="4"/>
        <v>24570.369175353109</v>
      </c>
      <c r="L17" s="135">
        <f t="shared" si="4"/>
        <v>30452.048113030785</v>
      </c>
      <c r="M17" s="135">
        <f t="shared" si="4"/>
        <v>38375.174268433591</v>
      </c>
      <c r="N17" s="135">
        <f t="shared" si="4"/>
        <v>47622.365358502786</v>
      </c>
      <c r="O17" s="135">
        <f t="shared" si="4"/>
        <v>58473.216282124289</v>
      </c>
      <c r="P17" s="135">
        <f t="shared" si="4"/>
        <v>70262.424441395226</v>
      </c>
      <c r="Q17" s="135">
        <f t="shared" si="4"/>
        <v>82847.971245779816</v>
      </c>
      <c r="R17" s="4"/>
      <c r="S17" s="4"/>
      <c r="T17" s="4"/>
      <c r="U17" s="4"/>
    </row>
    <row r="18" spans="1:26" ht="13">
      <c r="A18" s="2"/>
      <c r="C18" s="129"/>
      <c r="D18" s="129"/>
      <c r="E18" s="129"/>
      <c r="F18" s="129"/>
      <c r="G18" s="129"/>
      <c r="H18" s="129"/>
      <c r="I18" s="609"/>
      <c r="J18" s="136"/>
      <c r="K18" s="137"/>
      <c r="L18" s="137"/>
      <c r="M18" s="136"/>
      <c r="N18" s="136"/>
      <c r="O18" s="136"/>
      <c r="P18" s="136"/>
      <c r="Q18" s="136"/>
    </row>
    <row r="19" spans="1:26" ht="12.5">
      <c r="B19" t="s">
        <v>178</v>
      </c>
      <c r="C19" s="129">
        <v>659</v>
      </c>
      <c r="D19" s="129">
        <v>766</v>
      </c>
      <c r="E19" s="129">
        <v>1053</v>
      </c>
      <c r="F19" s="129">
        <v>1358</v>
      </c>
      <c r="G19" s="129">
        <v>1763</v>
      </c>
      <c r="H19" s="129">
        <v>2289</v>
      </c>
      <c r="I19" s="606">
        <f>Assumptions!J145</f>
        <v>2636.17395429416</v>
      </c>
      <c r="J19" s="132">
        <f>Assumptions!K145</f>
        <v>3125.3317645764955</v>
      </c>
      <c r="K19" s="132">
        <f>Assumptions!L145</f>
        <v>3797.271445511662</v>
      </c>
      <c r="L19" s="132">
        <f>Assumptions!M145</f>
        <v>4283.5892070444306</v>
      </c>
      <c r="M19" s="132">
        <f>Assumptions!N145</f>
        <v>4636.1684207198596</v>
      </c>
      <c r="N19" s="132">
        <f>Assumptions!O145</f>
        <v>5137.8774874379442</v>
      </c>
      <c r="O19" s="132">
        <f>Assumptions!P145</f>
        <v>5331.0743476602383</v>
      </c>
      <c r="P19" s="132">
        <f>Assumptions!Q145</f>
        <v>5604.589882020804</v>
      </c>
      <c r="Q19" s="132">
        <f>Assumptions!R145</f>
        <v>5942.2474339857527</v>
      </c>
    </row>
    <row r="20" spans="1:26" ht="12.5">
      <c r="B20" s="4" t="s">
        <v>179</v>
      </c>
      <c r="C20" s="129">
        <v>1468</v>
      </c>
      <c r="D20" s="129">
        <v>1630</v>
      </c>
      <c r="E20" s="131">
        <v>2117</v>
      </c>
      <c r="F20" s="131">
        <v>3203</v>
      </c>
      <c r="G20" s="131">
        <v>4583</v>
      </c>
      <c r="H20" s="129">
        <v>5313</v>
      </c>
      <c r="I20" s="605">
        <f>H20</f>
        <v>5313</v>
      </c>
      <c r="J20" s="130">
        <f t="shared" ref="J20:O20" si="5">I20</f>
        <v>5313</v>
      </c>
      <c r="K20" s="130">
        <f t="shared" si="5"/>
        <v>5313</v>
      </c>
      <c r="L20" s="130">
        <f t="shared" si="5"/>
        <v>5313</v>
      </c>
      <c r="M20" s="130">
        <f t="shared" si="5"/>
        <v>5313</v>
      </c>
      <c r="N20" s="130">
        <f t="shared" si="5"/>
        <v>5313</v>
      </c>
      <c r="O20" s="130">
        <f t="shared" si="5"/>
        <v>5313</v>
      </c>
      <c r="P20" s="130">
        <f t="shared" ref="P20" si="6">O20</f>
        <v>5313</v>
      </c>
      <c r="Q20" s="130">
        <f t="shared" ref="Q20" si="7">P20</f>
        <v>5313</v>
      </c>
    </row>
    <row r="21" spans="1:26" ht="12.5">
      <c r="B21" t="s">
        <v>180</v>
      </c>
      <c r="C21" s="129">
        <v>153</v>
      </c>
      <c r="D21" s="129">
        <v>287</v>
      </c>
      <c r="E21" s="131">
        <v>232</v>
      </c>
      <c r="F21" s="131">
        <v>224</v>
      </c>
      <c r="G21" s="131">
        <v>209</v>
      </c>
      <c r="H21" s="129">
        <v>1121</v>
      </c>
      <c r="I21" s="606">
        <f>Assumptions!J151</f>
        <v>1163.4453738147038</v>
      </c>
      <c r="J21" s="132">
        <f>Assumptions!K151</f>
        <v>1286.9308137620669</v>
      </c>
      <c r="K21" s="132">
        <f>Assumptions!L151</f>
        <v>1480.8210244416114</v>
      </c>
      <c r="L21" s="132">
        <f>Assumptions!M151</f>
        <v>1713.0481720091805</v>
      </c>
      <c r="M21" s="132">
        <f>Assumptions!N151</f>
        <v>1974.0556802991414</v>
      </c>
      <c r="N21" s="132">
        <f>Assumptions!O151</f>
        <v>2230.9375149098341</v>
      </c>
      <c r="O21" s="132">
        <f>Assumptions!P151</f>
        <v>2487.0890191314274</v>
      </c>
      <c r="P21" s="132">
        <f>Assumptions!Q151</f>
        <v>2736.2600585371142</v>
      </c>
      <c r="Q21" s="132">
        <f>Assumptions!R151</f>
        <v>2985.7682108262743</v>
      </c>
    </row>
    <row r="22" spans="1:26" ht="12.5">
      <c r="B22" t="s">
        <v>181</v>
      </c>
      <c r="C22" s="129">
        <v>241</v>
      </c>
      <c r="D22" s="129">
        <v>777</v>
      </c>
      <c r="E22" s="131">
        <v>824</v>
      </c>
      <c r="F22" s="131">
        <v>1231</v>
      </c>
      <c r="G22" s="131">
        <v>1273</v>
      </c>
      <c r="H22" s="129">
        <v>3578</v>
      </c>
      <c r="I22" s="605">
        <f>H22</f>
        <v>3578</v>
      </c>
      <c r="J22" s="130">
        <f t="shared" ref="J22:O22" si="8">I22</f>
        <v>3578</v>
      </c>
      <c r="K22" s="130">
        <f t="shared" si="8"/>
        <v>3578</v>
      </c>
      <c r="L22" s="130">
        <f t="shared" si="8"/>
        <v>3578</v>
      </c>
      <c r="M22" s="130">
        <f t="shared" si="8"/>
        <v>3578</v>
      </c>
      <c r="N22" s="130">
        <f t="shared" si="8"/>
        <v>3578</v>
      </c>
      <c r="O22" s="130">
        <f t="shared" si="8"/>
        <v>3578</v>
      </c>
      <c r="P22" s="130">
        <f t="shared" ref="P22" si="9">O22</f>
        <v>3578</v>
      </c>
      <c r="Q22" s="130">
        <f t="shared" ref="Q22" si="10">P22</f>
        <v>3578</v>
      </c>
    </row>
    <row r="23" spans="1:26" ht="12.5">
      <c r="B23" t="s">
        <v>182</v>
      </c>
      <c r="C23" s="129">
        <v>1672</v>
      </c>
      <c r="D23" s="129">
        <v>2118</v>
      </c>
      <c r="E23" s="131">
        <v>2419</v>
      </c>
      <c r="F23" s="131">
        <v>3594</v>
      </c>
      <c r="G23" s="131">
        <v>3367</v>
      </c>
      <c r="H23" s="129">
        <v>3266</v>
      </c>
      <c r="I23" s="606">
        <f>Assumptions!J78</f>
        <v>3820.38</v>
      </c>
      <c r="J23" s="132">
        <f>Assumptions!K78</f>
        <v>4746.6542304000004</v>
      </c>
      <c r="K23" s="132">
        <f>Assumptions!L78</f>
        <v>5814.2686375439989</v>
      </c>
      <c r="L23" s="132">
        <f>Assumptions!M78</f>
        <v>6780.0443437641597</v>
      </c>
      <c r="M23" s="132">
        <f>Assumptions!N78</f>
        <v>7768.1524456668376</v>
      </c>
      <c r="N23" s="132">
        <f>Assumptions!O78</f>
        <v>8519.8259520276279</v>
      </c>
      <c r="O23" s="132">
        <f>Assumptions!P78</f>
        <v>9292.3864408979316</v>
      </c>
      <c r="P23" s="132">
        <f>Assumptions!Q78</f>
        <v>10001.228739915146</v>
      </c>
      <c r="Q23" s="132">
        <f>Assumptions!R78</f>
        <v>10760.887288116526</v>
      </c>
    </row>
    <row r="24" spans="1:26" ht="12.5">
      <c r="B24"/>
      <c r="C24" s="129"/>
      <c r="D24" s="129"/>
      <c r="E24" s="131"/>
      <c r="F24" s="131"/>
      <c r="G24" s="131"/>
      <c r="H24" s="129"/>
      <c r="I24" s="606"/>
      <c r="J24" s="132"/>
      <c r="K24" s="132"/>
      <c r="L24" s="132"/>
      <c r="M24" s="132"/>
      <c r="N24" s="132"/>
      <c r="O24" s="132"/>
      <c r="P24" s="132"/>
      <c r="Q24" s="132"/>
    </row>
    <row r="25" spans="1:26" s="1" customFormat="1" ht="13">
      <c r="B25" s="1" t="s">
        <v>183</v>
      </c>
      <c r="C25" s="134">
        <f t="shared" ref="C25:H25" si="11">C19+C20+C21+C23+C22</f>
        <v>4193</v>
      </c>
      <c r="D25" s="134">
        <f t="shared" si="11"/>
        <v>5578</v>
      </c>
      <c r="E25" s="134">
        <f t="shared" si="11"/>
        <v>6645</v>
      </c>
      <c r="F25" s="134">
        <f t="shared" si="11"/>
        <v>9610</v>
      </c>
      <c r="G25" s="134">
        <f t="shared" si="11"/>
        <v>11195</v>
      </c>
      <c r="H25" s="134">
        <f t="shared" si="11"/>
        <v>15567</v>
      </c>
      <c r="I25" s="608">
        <f>SUM(I19:I23)</f>
        <v>16510.999328108865</v>
      </c>
      <c r="J25" s="135">
        <f t="shared" ref="J25:Q25" si="12">SUM(J19:J23)</f>
        <v>18049.916808738562</v>
      </c>
      <c r="K25" s="135">
        <f t="shared" si="12"/>
        <v>19983.361107497272</v>
      </c>
      <c r="L25" s="135">
        <f t="shared" si="12"/>
        <v>21667.681722817772</v>
      </c>
      <c r="M25" s="135">
        <f t="shared" si="12"/>
        <v>23269.376546685839</v>
      </c>
      <c r="N25" s="135">
        <f t="shared" si="12"/>
        <v>24779.640954375405</v>
      </c>
      <c r="O25" s="135">
        <f t="shared" si="12"/>
        <v>26001.549807689596</v>
      </c>
      <c r="P25" s="135">
        <f t="shared" si="12"/>
        <v>27233.078680473067</v>
      </c>
      <c r="Q25" s="135">
        <f t="shared" si="12"/>
        <v>28579.902932928551</v>
      </c>
      <c r="R25" s="4"/>
      <c r="S25" s="4"/>
      <c r="T25" s="4"/>
      <c r="U25" s="4"/>
    </row>
    <row r="26" spans="1:26" ht="12.5">
      <c r="C26" s="129"/>
      <c r="D26" s="129"/>
      <c r="E26" s="129"/>
      <c r="F26" s="129"/>
      <c r="G26" s="129"/>
      <c r="H26" s="129"/>
      <c r="I26" s="609"/>
      <c r="J26" s="136"/>
      <c r="K26" s="137"/>
      <c r="L26" s="137"/>
      <c r="M26" s="136"/>
      <c r="N26" s="136"/>
      <c r="O26" s="136"/>
      <c r="P26" s="136"/>
      <c r="Q26" s="136"/>
    </row>
    <row r="27" spans="1:26" s="1" customFormat="1" ht="13">
      <c r="B27" s="1" t="s">
        <v>184</v>
      </c>
      <c r="C27" s="134">
        <f t="shared" ref="C27:H27" si="13">C17+C25</f>
        <v>8715</v>
      </c>
      <c r="D27" s="134">
        <f t="shared" si="13"/>
        <v>10797</v>
      </c>
      <c r="E27" s="134">
        <f t="shared" si="13"/>
        <v>13299</v>
      </c>
      <c r="F27" s="134">
        <f t="shared" si="13"/>
        <v>17387</v>
      </c>
      <c r="G27" s="134">
        <f t="shared" si="13"/>
        <v>20383</v>
      </c>
      <c r="H27" s="134">
        <f t="shared" si="13"/>
        <v>26038</v>
      </c>
      <c r="I27" s="610">
        <f t="shared" ref="I27:Q27" si="14">I17+I25</f>
        <v>30548.515978126597</v>
      </c>
      <c r="J27" s="138">
        <f t="shared" si="14"/>
        <v>36743.729991085973</v>
      </c>
      <c r="K27" s="138">
        <f t="shared" si="14"/>
        <v>44553.730282850382</v>
      </c>
      <c r="L27" s="138">
        <f t="shared" si="14"/>
        <v>52119.729835848557</v>
      </c>
      <c r="M27" s="138">
        <f t="shared" si="14"/>
        <v>61644.55081511943</v>
      </c>
      <c r="N27" s="138">
        <f t="shared" si="14"/>
        <v>72402.006312878191</v>
      </c>
      <c r="O27" s="138">
        <f t="shared" si="14"/>
        <v>84474.766089813886</v>
      </c>
      <c r="P27" s="138">
        <f>P17+P25</f>
        <v>97495.5031218683</v>
      </c>
      <c r="Q27" s="138">
        <f t="shared" si="14"/>
        <v>111427.87417870837</v>
      </c>
      <c r="R27" s="4"/>
      <c r="S27" s="4"/>
      <c r="T27" s="4"/>
      <c r="U27" s="4"/>
    </row>
    <row r="28" spans="1:26" ht="13">
      <c r="A28" s="1"/>
      <c r="C28" s="129"/>
      <c r="D28" s="129"/>
      <c r="E28" s="129"/>
      <c r="F28" s="129"/>
      <c r="G28" s="129"/>
      <c r="H28" s="129"/>
      <c r="I28" s="609"/>
      <c r="J28" s="137"/>
      <c r="K28" s="137"/>
      <c r="L28" s="137"/>
      <c r="M28" s="136"/>
      <c r="N28" s="136"/>
      <c r="O28" s="136"/>
      <c r="P28" s="136"/>
      <c r="Q28" s="136"/>
    </row>
    <row r="29" spans="1:26" ht="12.5">
      <c r="B29" s="4" t="s">
        <v>185</v>
      </c>
      <c r="C29" s="129">
        <v>0</v>
      </c>
      <c r="D29" s="129">
        <v>92</v>
      </c>
      <c r="E29" s="131">
        <v>0</v>
      </c>
      <c r="F29" s="131">
        <v>0</v>
      </c>
      <c r="G29" s="131">
        <v>0</v>
      </c>
      <c r="H29" s="129">
        <v>0</v>
      </c>
      <c r="I29" s="611">
        <f>H29</f>
        <v>0</v>
      </c>
      <c r="J29" s="129">
        <f t="shared" ref="J29:Q29" si="15">I29</f>
        <v>0</v>
      </c>
      <c r="K29" s="129">
        <f t="shared" si="15"/>
        <v>0</v>
      </c>
      <c r="L29" s="129">
        <f t="shared" si="15"/>
        <v>0</v>
      </c>
      <c r="M29" s="129">
        <f t="shared" si="15"/>
        <v>0</v>
      </c>
      <c r="N29" s="129">
        <f t="shared" si="15"/>
        <v>0</v>
      </c>
      <c r="O29" s="129">
        <f t="shared" si="15"/>
        <v>0</v>
      </c>
      <c r="P29" s="129">
        <f t="shared" si="15"/>
        <v>0</v>
      </c>
      <c r="Q29" s="129">
        <f t="shared" si="15"/>
        <v>0</v>
      </c>
    </row>
    <row r="30" spans="1:26" ht="12.5">
      <c r="B30" s="4" t="s">
        <v>186</v>
      </c>
      <c r="C30" s="129">
        <v>34</v>
      </c>
      <c r="D30" s="129">
        <v>89</v>
      </c>
      <c r="E30" s="139">
        <v>274</v>
      </c>
      <c r="F30" s="139">
        <v>126</v>
      </c>
      <c r="G30" s="139">
        <v>68</v>
      </c>
      <c r="H30" s="129">
        <v>204</v>
      </c>
      <c r="I30" s="606">
        <f>Assumptions!J81</f>
        <v>194.92053858052395</v>
      </c>
      <c r="J30" s="132">
        <f>Assumptions!K81</f>
        <v>247.44498871338803</v>
      </c>
      <c r="K30" s="132">
        <f>Assumptions!L81</f>
        <v>296.50389167379075</v>
      </c>
      <c r="L30" s="132">
        <f>Assumptions!M81</f>
        <v>348.37574092372785</v>
      </c>
      <c r="M30" s="132">
        <f>Assumptions!N81</f>
        <v>400.08269641917929</v>
      </c>
      <c r="N30" s="132">
        <f>Assumptions!O81</f>
        <v>437.01414219783157</v>
      </c>
      <c r="O30" s="132">
        <f>Assumptions!P81</f>
        <v>477.56437532506089</v>
      </c>
      <c r="P30" s="132">
        <f>Assumptions!Q81</f>
        <v>514.02918680067341</v>
      </c>
      <c r="Q30" s="132">
        <f>Assumptions!R81</f>
        <v>552.69162714300478</v>
      </c>
    </row>
    <row r="31" spans="1:26" ht="12.5">
      <c r="B31" s="4" t="s">
        <v>87</v>
      </c>
      <c r="C31" s="129">
        <v>2963</v>
      </c>
      <c r="D31" s="129">
        <v>3836</v>
      </c>
      <c r="E31" s="139">
        <v>4660</v>
      </c>
      <c r="F31" s="139">
        <v>5785</v>
      </c>
      <c r="G31" s="139">
        <v>6819</v>
      </c>
      <c r="H31" s="129">
        <v>8314</v>
      </c>
      <c r="I31" s="606">
        <f>Assumptions!J25</f>
        <v>10067.872267704281</v>
      </c>
      <c r="J31" s="132">
        <f>Assumptions!K25</f>
        <v>12719.365223999999</v>
      </c>
      <c r="K31" s="132">
        <f>Assumptions!L25</f>
        <v>15813.777957599998</v>
      </c>
      <c r="L31" s="132">
        <f>Assumptions!M25</f>
        <v>18343.982430815999</v>
      </c>
      <c r="M31" s="132">
        <f>Assumptions!N25</f>
        <v>21132.267760300027</v>
      </c>
      <c r="N31" s="132">
        <f>Assumptions!O25</f>
        <v>23891.202717894757</v>
      </c>
      <c r="O31" s="132">
        <f>Assumptions!P25</f>
        <v>26514.392205501448</v>
      </c>
      <c r="P31" s="132">
        <f>Assumptions!Q25</f>
        <v>29033.259465024083</v>
      </c>
      <c r="Q31" s="132">
        <f>Assumptions!R25</f>
        <v>30775.255032925528</v>
      </c>
      <c r="U31" s="8"/>
      <c r="V31" s="8"/>
      <c r="W31" s="8"/>
      <c r="X31" s="8"/>
      <c r="Y31" s="8"/>
      <c r="Z31" s="8"/>
    </row>
    <row r="32" spans="1:26" ht="12.5">
      <c r="B32" s="4" t="s">
        <v>187</v>
      </c>
      <c r="C32" s="129">
        <v>740</v>
      </c>
      <c r="D32" s="129">
        <v>932</v>
      </c>
      <c r="E32" s="131">
        <v>1071</v>
      </c>
      <c r="F32" s="131">
        <v>1454</v>
      </c>
      <c r="G32" s="131">
        <v>1471</v>
      </c>
      <c r="H32" s="129">
        <v>1925</v>
      </c>
      <c r="I32" s="606">
        <f>Assumptions!J84</f>
        <v>2096.2327754130647</v>
      </c>
      <c r="J32" s="132">
        <f>Assumptions!K84</f>
        <v>2518.8346794005865</v>
      </c>
      <c r="K32" s="132">
        <f>Assumptions!L84</f>
        <v>2979.4980622738999</v>
      </c>
      <c r="L32" s="132">
        <f>Assumptions!M84</f>
        <v>3422.1337626267104</v>
      </c>
      <c r="M32" s="132">
        <f>Assumptions!N84</f>
        <v>3506.2169701753037</v>
      </c>
      <c r="N32" s="132">
        <f>Assumptions!O84</f>
        <v>3625.7069975692275</v>
      </c>
      <c r="O32" s="132">
        <f>Assumptions!P84</f>
        <v>3763.2225262972056</v>
      </c>
      <c r="P32" s="132">
        <f>Assumptions!Q84</f>
        <v>4050.0244248076415</v>
      </c>
      <c r="Q32" s="132">
        <f>Assumptions!R84</f>
        <v>4075.9362553149631</v>
      </c>
    </row>
    <row r="33" spans="2:21" s="1" customFormat="1" ht="13">
      <c r="B33" s="1" t="s">
        <v>188</v>
      </c>
      <c r="C33" s="134">
        <f>C29+C30+C31+C32</f>
        <v>3737</v>
      </c>
      <c r="D33" s="134">
        <f>D29+D30+D31+D32</f>
        <v>4949</v>
      </c>
      <c r="E33" s="134">
        <f>E29+E30+E31+E32</f>
        <v>6005</v>
      </c>
      <c r="F33" s="134">
        <f>F29+F30+F31+F32</f>
        <v>7365</v>
      </c>
      <c r="G33" s="134">
        <f t="shared" ref="G33:Q33" si="16">G29+G30+G31+G32</f>
        <v>8358</v>
      </c>
      <c r="H33" s="134">
        <f t="shared" si="16"/>
        <v>10443</v>
      </c>
      <c r="I33" s="610">
        <f t="shared" si="16"/>
        <v>12359.025581697868</v>
      </c>
      <c r="J33" s="138">
        <f t="shared" si="16"/>
        <v>15485.644892113974</v>
      </c>
      <c r="K33" s="138">
        <f t="shared" si="16"/>
        <v>19089.779911547688</v>
      </c>
      <c r="L33" s="138">
        <f t="shared" si="16"/>
        <v>22114.491934366437</v>
      </c>
      <c r="M33" s="138">
        <f t="shared" si="16"/>
        <v>25038.567426894511</v>
      </c>
      <c r="N33" s="138">
        <f t="shared" si="16"/>
        <v>27953.923857661819</v>
      </c>
      <c r="O33" s="138">
        <f t="shared" si="16"/>
        <v>30755.179107123717</v>
      </c>
      <c r="P33" s="138">
        <f t="shared" si="16"/>
        <v>33597.313076632396</v>
      </c>
      <c r="Q33" s="138">
        <f t="shared" si="16"/>
        <v>35403.882915383496</v>
      </c>
      <c r="R33" s="4"/>
      <c r="S33" s="4"/>
      <c r="T33" s="4"/>
      <c r="U33" s="4"/>
    </row>
    <row r="34" spans="2:21" ht="13">
      <c r="B34" s="1"/>
      <c r="C34" s="134"/>
      <c r="D34" s="134"/>
      <c r="E34" s="129"/>
      <c r="F34" s="129"/>
      <c r="G34" s="129"/>
      <c r="H34" s="129"/>
      <c r="I34" s="609"/>
      <c r="J34" s="137"/>
      <c r="K34" s="137"/>
      <c r="L34" s="137"/>
      <c r="M34" s="136"/>
      <c r="N34" s="136"/>
      <c r="O34" s="136"/>
      <c r="P34" s="136"/>
      <c r="Q34" s="136"/>
    </row>
    <row r="35" spans="2:21" ht="12.5">
      <c r="B35" s="4" t="s">
        <v>189</v>
      </c>
      <c r="C35" s="129">
        <v>1640</v>
      </c>
      <c r="D35" s="129">
        <v>1484</v>
      </c>
      <c r="E35" s="131">
        <v>1486</v>
      </c>
      <c r="F35" s="131">
        <v>1488</v>
      </c>
      <c r="G35" s="131">
        <v>1489</v>
      </c>
      <c r="H35" s="129">
        <v>1491</v>
      </c>
      <c r="I35" s="606">
        <f>Assumptions!J164</f>
        <v>1491</v>
      </c>
      <c r="J35" s="132">
        <f>Assumptions!K164</f>
        <v>1491</v>
      </c>
      <c r="K35" s="132">
        <f>Assumptions!L164</f>
        <v>1491</v>
      </c>
      <c r="L35" s="132">
        <f>Assumptions!M164</f>
        <v>1491</v>
      </c>
      <c r="M35" s="132">
        <f>Assumptions!N164</f>
        <v>1491</v>
      </c>
      <c r="N35" s="132">
        <f>Assumptions!O164</f>
        <v>1491</v>
      </c>
      <c r="O35" s="132">
        <f>Assumptions!P164</f>
        <v>1491</v>
      </c>
      <c r="P35" s="132">
        <f>Assumptions!Q164</f>
        <v>1491</v>
      </c>
      <c r="Q35" s="132">
        <f>Assumptions!R164</f>
        <v>1491</v>
      </c>
    </row>
    <row r="36" spans="2:21" ht="12.5">
      <c r="B36" s="4" t="s">
        <v>190</v>
      </c>
      <c r="C36" s="129">
        <v>504</v>
      </c>
      <c r="D36" s="129">
        <v>670</v>
      </c>
      <c r="E36" s="131">
        <v>776</v>
      </c>
      <c r="F36" s="131">
        <v>906</v>
      </c>
      <c r="G36" s="131">
        <v>927</v>
      </c>
      <c r="H36" s="129">
        <v>1140</v>
      </c>
      <c r="I36" s="606">
        <f>Assumptions!J90</f>
        <v>1404.1391190556467</v>
      </c>
      <c r="J36" s="132">
        <f>Assumptions!K90</f>
        <v>1744.5811384039325</v>
      </c>
      <c r="K36" s="132">
        <f>Assumptions!L90</f>
        <v>2136.9712025175263</v>
      </c>
      <c r="L36" s="132">
        <f>Assumptions!M90</f>
        <v>2491.9315596907186</v>
      </c>
      <c r="M36" s="132">
        <f>Assumptions!N90</f>
        <v>2855.0999460128578</v>
      </c>
      <c r="N36" s="132">
        <f>Assumptions!O90</f>
        <v>3131.3693681747659</v>
      </c>
      <c r="O36" s="132">
        <f>Assumptions!P90</f>
        <v>3415.3155735940036</v>
      </c>
      <c r="P36" s="132">
        <f>Assumptions!Q90</f>
        <v>3675.8428513232898</v>
      </c>
      <c r="Q36" s="132">
        <f>Assumptions!R90</f>
        <v>3955.0470887694541</v>
      </c>
    </row>
    <row r="37" spans="2:21" ht="13">
      <c r="B37" s="1" t="s">
        <v>191</v>
      </c>
      <c r="C37" s="134">
        <f>C35+C36</f>
        <v>2144</v>
      </c>
      <c r="D37" s="134">
        <f t="shared" ref="D37:N37" si="17">D35+D36</f>
        <v>2154</v>
      </c>
      <c r="E37" s="134">
        <f t="shared" si="17"/>
        <v>2262</v>
      </c>
      <c r="F37" s="134">
        <f t="shared" si="17"/>
        <v>2394</v>
      </c>
      <c r="G37" s="134">
        <f t="shared" si="17"/>
        <v>2416</v>
      </c>
      <c r="H37" s="134">
        <f t="shared" si="17"/>
        <v>2631</v>
      </c>
      <c r="I37" s="610">
        <f t="shared" si="17"/>
        <v>2895.1391190556469</v>
      </c>
      <c r="J37" s="138">
        <f t="shared" si="17"/>
        <v>3235.5811384039325</v>
      </c>
      <c r="K37" s="138">
        <f t="shared" si="17"/>
        <v>3627.9712025175263</v>
      </c>
      <c r="L37" s="138">
        <f t="shared" si="17"/>
        <v>3982.9315596907186</v>
      </c>
      <c r="M37" s="138">
        <f t="shared" si="17"/>
        <v>4346.0999460128578</v>
      </c>
      <c r="N37" s="138">
        <f t="shared" si="17"/>
        <v>4622.3693681747664</v>
      </c>
      <c r="O37" s="138">
        <f>O35+O36</f>
        <v>4906.3155735940036</v>
      </c>
      <c r="P37" s="138">
        <f t="shared" ref="P37:Q37" si="18">P35+P36</f>
        <v>5166.8428513232902</v>
      </c>
      <c r="Q37" s="138">
        <f t="shared" si="18"/>
        <v>5446.0470887694537</v>
      </c>
    </row>
    <row r="38" spans="2:21" ht="13">
      <c r="B38" s="1"/>
      <c r="C38" s="134"/>
      <c r="D38" s="134"/>
      <c r="E38" s="134"/>
      <c r="F38" s="134"/>
      <c r="G38" s="134"/>
      <c r="H38" s="134"/>
      <c r="I38" s="610"/>
      <c r="J38" s="138"/>
      <c r="K38" s="138"/>
      <c r="L38" s="138"/>
      <c r="M38" s="136"/>
      <c r="N38" s="136"/>
      <c r="O38" s="136"/>
      <c r="P38" s="136"/>
      <c r="Q38" s="136"/>
    </row>
    <row r="39" spans="2:21" ht="13">
      <c r="B39" s="1" t="s">
        <v>192</v>
      </c>
      <c r="C39" s="134">
        <f>C33+C37</f>
        <v>5881</v>
      </c>
      <c r="D39" s="134">
        <f t="shared" ref="D39:Q39" si="19">D33+D37</f>
        <v>7103</v>
      </c>
      <c r="E39" s="134">
        <f t="shared" si="19"/>
        <v>8267</v>
      </c>
      <c r="F39" s="134">
        <f t="shared" si="19"/>
        <v>9759</v>
      </c>
      <c r="G39" s="134">
        <f t="shared" si="19"/>
        <v>10774</v>
      </c>
      <c r="H39" s="134">
        <f t="shared" si="19"/>
        <v>13074</v>
      </c>
      <c r="I39" s="610">
        <f t="shared" si="19"/>
        <v>15254.164700753514</v>
      </c>
      <c r="J39" s="138">
        <f t="shared" si="19"/>
        <v>18721.226030517908</v>
      </c>
      <c r="K39" s="138">
        <f t="shared" si="19"/>
        <v>22717.751114065213</v>
      </c>
      <c r="L39" s="138">
        <f t="shared" si="19"/>
        <v>26097.423494057155</v>
      </c>
      <c r="M39" s="138">
        <f t="shared" si="19"/>
        <v>29384.66737290737</v>
      </c>
      <c r="N39" s="138">
        <f t="shared" si="19"/>
        <v>32576.293225836584</v>
      </c>
      <c r="O39" s="138">
        <f t="shared" si="19"/>
        <v>35661.494680717718</v>
      </c>
      <c r="P39" s="138">
        <f t="shared" si="19"/>
        <v>38764.155927955682</v>
      </c>
      <c r="Q39" s="138">
        <f t="shared" si="19"/>
        <v>40849.93000415295</v>
      </c>
    </row>
    <row r="40" spans="2:21" ht="13">
      <c r="B40" s="1"/>
      <c r="C40" s="129"/>
      <c r="D40" s="129"/>
      <c r="E40" s="129"/>
      <c r="F40" s="129"/>
      <c r="G40" s="129"/>
      <c r="H40" s="129"/>
      <c r="I40" s="609"/>
      <c r="J40" s="137"/>
      <c r="K40" s="137"/>
      <c r="L40" s="137"/>
      <c r="M40" s="136"/>
      <c r="N40" s="136"/>
      <c r="O40" s="136"/>
      <c r="P40" s="136"/>
      <c r="Q40" s="136"/>
    </row>
    <row r="41" spans="2:21" ht="12.5">
      <c r="B41" s="4" t="s">
        <v>193</v>
      </c>
      <c r="C41" s="129">
        <v>2974</v>
      </c>
      <c r="D41" s="129">
        <v>3664</v>
      </c>
      <c r="E41" s="131">
        <v>4796</v>
      </c>
      <c r="F41" s="131">
        <v>6131</v>
      </c>
      <c r="G41" s="131">
        <v>7401</v>
      </c>
      <c r="H41" s="129">
        <v>10747</v>
      </c>
      <c r="I41" s="606">
        <f>H41+CFS!I8</f>
        <v>13045.44</v>
      </c>
      <c r="J41" s="132">
        <f>I41+CFS!J8</f>
        <v>15650.311224000001</v>
      </c>
      <c r="K41" s="132">
        <f>J41+CFS!K8</f>
        <v>18841.068403140001</v>
      </c>
      <c r="L41" s="132">
        <f>K41+CFS!L8</f>
        <v>21597.183990036003</v>
      </c>
      <c r="M41" s="132">
        <f>L41+CFS!M8</f>
        <v>23807.633872949329</v>
      </c>
      <c r="N41" s="132">
        <f>M41+CFS!N8</f>
        <v>25539.30581441836</v>
      </c>
      <c r="O41" s="132">
        <f>N41+CFS!O8</f>
        <v>26861.393316172129</v>
      </c>
      <c r="P41" s="132">
        <f>O41+CFS!P8</f>
        <v>27471.224336898664</v>
      </c>
      <c r="Q41" s="132">
        <f>P41+CFS!Q8</f>
        <v>27908.658779505025</v>
      </c>
    </row>
    <row r="42" spans="2:21" ht="12.5">
      <c r="B42" t="s">
        <v>194</v>
      </c>
      <c r="C42" s="129"/>
      <c r="D42" s="129"/>
      <c r="E42" s="131"/>
      <c r="F42" s="131">
        <v>-535</v>
      </c>
      <c r="G42" s="131">
        <v>-1218</v>
      </c>
      <c r="H42" s="129">
        <v>-3044</v>
      </c>
      <c r="I42" s="606">
        <f>H42+CFS!I26</f>
        <v>-5044</v>
      </c>
      <c r="J42" s="132">
        <f>I42+CFS!J26</f>
        <v>-7648.8712240000004</v>
      </c>
      <c r="K42" s="132">
        <f>J42+CFS!K26</f>
        <v>-10839.628403139999</v>
      </c>
      <c r="L42" s="132">
        <f>K42+CFS!L26</f>
        <v>-14146.967107415199</v>
      </c>
      <c r="M42" s="132">
        <f>L42+CFS!M26</f>
        <v>-16910.02946105686</v>
      </c>
      <c r="N42" s="132">
        <f>M42+CFS!N26</f>
        <v>-19507.537373260406</v>
      </c>
      <c r="O42" s="132">
        <f>N42+CFS!O26</f>
        <v>-21622.877376066441</v>
      </c>
      <c r="P42" s="132">
        <f>O42+CFS!P26</f>
        <v>-22842.539417519507</v>
      </c>
      <c r="Q42" s="132">
        <f>P42+CFS!Q26</f>
        <v>-23804.895191253505</v>
      </c>
    </row>
    <row r="43" spans="2:21" ht="12.5">
      <c r="B43" t="s">
        <v>195</v>
      </c>
      <c r="C43" s="129">
        <v>-234</v>
      </c>
      <c r="D43" s="129">
        <v>-4</v>
      </c>
      <c r="E43" s="129">
        <v>338</v>
      </c>
      <c r="F43" s="131">
        <v>2069</v>
      </c>
      <c r="G43" s="131">
        <v>3494</v>
      </c>
      <c r="H43" s="129">
        <v>5242</v>
      </c>
      <c r="I43" s="612">
        <f>Assumptions!J158</f>
        <v>7274.3824399999994</v>
      </c>
      <c r="J43" s="140">
        <f>Assumptions!K158</f>
        <v>10001.68966928</v>
      </c>
      <c r="K43" s="140">
        <f>Assumptions!L158</f>
        <v>13815.058834943631</v>
      </c>
      <c r="L43" s="140">
        <f>Assumptions!M158</f>
        <v>18553.237421597041</v>
      </c>
      <c r="M43" s="140">
        <f>Assumptions!N158</f>
        <v>25342.865823080432</v>
      </c>
      <c r="N43" s="140">
        <f>Assumptions!O158</f>
        <v>33774.489306067167</v>
      </c>
      <c r="O43" s="140">
        <f>Assumptions!P158</f>
        <v>43555.641320334529</v>
      </c>
      <c r="P43" s="140">
        <f>Assumptions!Q158</f>
        <v>54083.667712910661</v>
      </c>
      <c r="Q43" s="140">
        <f>Assumptions!R158</f>
        <v>66454.860377628007</v>
      </c>
    </row>
    <row r="44" spans="2:21" ht="12.5">
      <c r="B44" t="s">
        <v>196</v>
      </c>
      <c r="C44" s="129">
        <v>94</v>
      </c>
      <c r="D44" s="129">
        <v>34</v>
      </c>
      <c r="E44" s="129">
        <v>-102</v>
      </c>
      <c r="F44" s="131">
        <v>-37</v>
      </c>
      <c r="G44" s="131">
        <v>-68</v>
      </c>
      <c r="H44" s="129">
        <v>19</v>
      </c>
      <c r="I44" s="609">
        <f>H44</f>
        <v>19</v>
      </c>
      <c r="J44" s="136">
        <f t="shared" ref="J44:O44" si="20">I44</f>
        <v>19</v>
      </c>
      <c r="K44" s="136">
        <f t="shared" si="20"/>
        <v>19</v>
      </c>
      <c r="L44" s="136">
        <f t="shared" si="20"/>
        <v>19</v>
      </c>
      <c r="M44" s="136">
        <f t="shared" si="20"/>
        <v>19</v>
      </c>
      <c r="N44" s="136">
        <f t="shared" si="20"/>
        <v>19</v>
      </c>
      <c r="O44" s="136">
        <f t="shared" si="20"/>
        <v>19</v>
      </c>
      <c r="P44" s="136">
        <f t="shared" ref="P44" si="21">O44</f>
        <v>19</v>
      </c>
      <c r="Q44" s="136">
        <f t="shared" ref="Q44" si="22">P44</f>
        <v>19</v>
      </c>
    </row>
    <row r="45" spans="2:21" ht="13">
      <c r="B45" s="1" t="s">
        <v>197</v>
      </c>
      <c r="C45" s="129">
        <f t="shared" ref="C45:Q45" si="23">C41+C42+C43+C44</f>
        <v>2834</v>
      </c>
      <c r="D45" s="129">
        <f t="shared" si="23"/>
        <v>3694</v>
      </c>
      <c r="E45" s="129">
        <f t="shared" si="23"/>
        <v>5032</v>
      </c>
      <c r="F45" s="129">
        <f t="shared" si="23"/>
        <v>7628</v>
      </c>
      <c r="G45" s="129">
        <f t="shared" si="23"/>
        <v>9609</v>
      </c>
      <c r="H45" s="129">
        <f t="shared" si="23"/>
        <v>12964</v>
      </c>
      <c r="I45" s="613">
        <f t="shared" si="23"/>
        <v>15294.82244</v>
      </c>
      <c r="J45" s="141">
        <f t="shared" si="23"/>
        <v>18022.129669280002</v>
      </c>
      <c r="K45" s="141">
        <f t="shared" si="23"/>
        <v>21835.498834943632</v>
      </c>
      <c r="L45" s="141">
        <f t="shared" si="23"/>
        <v>26022.454304217845</v>
      </c>
      <c r="M45" s="141">
        <f t="shared" si="23"/>
        <v>32259.470234972901</v>
      </c>
      <c r="N45" s="141">
        <f t="shared" si="23"/>
        <v>39825.257747225121</v>
      </c>
      <c r="O45" s="141">
        <f t="shared" si="23"/>
        <v>48813.157260440217</v>
      </c>
      <c r="P45" s="141">
        <f t="shared" si="23"/>
        <v>58731.352632289818</v>
      </c>
      <c r="Q45" s="141">
        <f t="shared" si="23"/>
        <v>70577.623965879524</v>
      </c>
    </row>
    <row r="46" spans="2:21" ht="13">
      <c r="B46" s="1"/>
      <c r="C46" s="129"/>
      <c r="D46" s="129"/>
      <c r="E46" s="129"/>
      <c r="F46" s="129"/>
      <c r="G46" s="129"/>
      <c r="H46" s="129"/>
      <c r="I46" s="609"/>
      <c r="J46" s="136"/>
      <c r="K46" s="137"/>
      <c r="L46" s="137"/>
      <c r="M46" s="136"/>
      <c r="N46" s="136"/>
      <c r="O46" s="136"/>
      <c r="P46" s="136"/>
      <c r="Q46" s="136"/>
    </row>
    <row r="47" spans="2:21" s="1" customFormat="1" ht="13">
      <c r="B47" s="1" t="s">
        <v>198</v>
      </c>
      <c r="C47" s="134">
        <f t="shared" ref="C47:Q47" si="24">C33+C37+C45</f>
        <v>8715</v>
      </c>
      <c r="D47" s="134">
        <f t="shared" si="24"/>
        <v>10797</v>
      </c>
      <c r="E47" s="134">
        <f t="shared" si="24"/>
        <v>13299</v>
      </c>
      <c r="F47" s="134">
        <f t="shared" si="24"/>
        <v>17387</v>
      </c>
      <c r="G47" s="134">
        <f t="shared" si="24"/>
        <v>20383</v>
      </c>
      <c r="H47" s="134">
        <f t="shared" si="24"/>
        <v>26038</v>
      </c>
      <c r="I47" s="610">
        <f t="shared" si="24"/>
        <v>30548.987140753514</v>
      </c>
      <c r="J47" s="138">
        <f t="shared" si="24"/>
        <v>36743.35569979791</v>
      </c>
      <c r="K47" s="138">
        <f t="shared" si="24"/>
        <v>44553.249949008845</v>
      </c>
      <c r="L47" s="138">
        <f t="shared" si="24"/>
        <v>52119.877798275003</v>
      </c>
      <c r="M47" s="138">
        <f t="shared" si="24"/>
        <v>61644.137607880271</v>
      </c>
      <c r="N47" s="138">
        <f t="shared" si="24"/>
        <v>72401.550973061705</v>
      </c>
      <c r="O47" s="138">
        <f t="shared" si="24"/>
        <v>84474.651941157936</v>
      </c>
      <c r="P47" s="138">
        <f t="shared" si="24"/>
        <v>97495.508560245507</v>
      </c>
      <c r="Q47" s="138">
        <f t="shared" si="24"/>
        <v>111427.55397003247</v>
      </c>
      <c r="R47" s="4"/>
      <c r="S47" s="4"/>
      <c r="T47" s="4"/>
      <c r="U47" s="4"/>
    </row>
    <row r="48" spans="2:21" ht="12.5">
      <c r="C48" s="136"/>
      <c r="D48" s="136"/>
      <c r="E48" s="136"/>
      <c r="F48" s="136"/>
      <c r="G48" s="136"/>
      <c r="H48" s="136"/>
      <c r="I48" s="136"/>
      <c r="J48" s="137"/>
      <c r="K48" s="137"/>
      <c r="L48" s="137"/>
      <c r="M48" s="136"/>
      <c r="N48" s="136"/>
      <c r="O48" s="136"/>
      <c r="P48" s="136"/>
      <c r="Q48" s="136"/>
    </row>
    <row r="49" spans="1:17" ht="13">
      <c r="A49" s="18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</row>
    <row r="50" spans="1:17" ht="12.5">
      <c r="I50" s="113"/>
      <c r="J50" s="113"/>
      <c r="K50" s="113"/>
      <c r="L50" s="113"/>
      <c r="M50" s="113"/>
      <c r="N50" s="113"/>
      <c r="O50" s="113"/>
      <c r="P50" s="113"/>
      <c r="Q50" s="113"/>
    </row>
    <row r="51" spans="1:17" ht="12.5">
      <c r="A51" s="31" t="s">
        <v>166</v>
      </c>
      <c r="B51" s="31" t="s">
        <v>167</v>
      </c>
      <c r="C51" s="31"/>
      <c r="D51" s="31"/>
      <c r="K51" s="4"/>
      <c r="L51" s="4"/>
    </row>
    <row r="52" spans="1:17" ht="12.5">
      <c r="J52" s="3"/>
      <c r="M52" s="3"/>
      <c r="N52" s="3"/>
      <c r="O52" s="3"/>
      <c r="P52" s="3"/>
      <c r="Q52" s="3"/>
    </row>
    <row r="53" spans="1:17" ht="12.5">
      <c r="J53" s="3"/>
    </row>
    <row r="54" spans="1:17" ht="12.5">
      <c r="J54" s="3"/>
    </row>
    <row r="55" spans="1:17" ht="12.5">
      <c r="J55" s="3"/>
    </row>
    <row r="56" spans="1:17" ht="12.5">
      <c r="J56" s="3"/>
    </row>
    <row r="57" spans="1:17" ht="12.5">
      <c r="J57" s="3"/>
    </row>
    <row r="58" spans="1:17" ht="12.5">
      <c r="J58" s="3"/>
    </row>
    <row r="59" spans="1:17" ht="12.5">
      <c r="J59" s="3"/>
    </row>
    <row r="60" spans="1:17" ht="12.5">
      <c r="J60" s="3"/>
    </row>
    <row r="61" spans="1:17" ht="12.5">
      <c r="J61" s="3"/>
    </row>
    <row r="62" spans="1:17" ht="12.5">
      <c r="J62" s="3"/>
    </row>
    <row r="63" spans="1:17" ht="12.5">
      <c r="J63" s="3"/>
    </row>
  </sheetData>
  <pageMargins left="0.74803149606299202" right="0.74803149606299202" top="0.98425196850393704" bottom="0.98425196850393704" header="0.511811023622047" footer="0.511811023622047"/>
  <pageSetup paperSize="9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autoPageBreaks="0" fitToPage="1"/>
  </sheetPr>
  <dimension ref="A1:R40"/>
  <sheetViews>
    <sheetView showGridLines="0" zoomScale="88" zoomScaleNormal="100" workbookViewId="0">
      <pane ySplit="2" topLeftCell="A3" activePane="bottomLeft" state="frozen"/>
      <selection activeCell="A2" sqref="A2"/>
      <selection pane="bottomLeft" activeCell="E42" sqref="E42"/>
    </sheetView>
  </sheetViews>
  <sheetFormatPr defaultRowHeight="12.75" customHeight="1"/>
  <cols>
    <col min="1" max="1" width="1.54296875" style="4" customWidth="1"/>
    <col min="2" max="2" width="57.1796875" style="4" customWidth="1"/>
    <col min="3" max="3" width="11.54296875" style="4" hidden="1" customWidth="1"/>
    <col min="4" max="4" width="12.453125" style="4" hidden="1" customWidth="1"/>
    <col min="5" max="10" width="10.54296875" style="4" customWidth="1"/>
    <col min="11" max="12" width="10.54296875" style="3" bestFit="1" customWidth="1"/>
    <col min="13" max="257" width="9" style="4"/>
    <col min="258" max="258" width="1.54296875" style="4" customWidth="1"/>
    <col min="259" max="259" width="40.54296875" style="4" customWidth="1"/>
    <col min="260" max="265" width="10.54296875" style="4" customWidth="1"/>
    <col min="266" max="267" width="9.54296875" style="4" bestFit="1" customWidth="1"/>
    <col min="268" max="513" width="9" style="4"/>
    <col min="514" max="514" width="1.54296875" style="4" customWidth="1"/>
    <col min="515" max="515" width="40.54296875" style="4" customWidth="1"/>
    <col min="516" max="521" width="10.54296875" style="4" customWidth="1"/>
    <col min="522" max="523" width="9.54296875" style="4" bestFit="1" customWidth="1"/>
    <col min="524" max="769" width="9" style="4"/>
    <col min="770" max="770" width="1.54296875" style="4" customWidth="1"/>
    <col min="771" max="771" width="40.54296875" style="4" customWidth="1"/>
    <col min="772" max="777" width="10.54296875" style="4" customWidth="1"/>
    <col min="778" max="779" width="9.54296875" style="4" bestFit="1" customWidth="1"/>
    <col min="780" max="1025" width="9" style="4"/>
    <col min="1026" max="1026" width="1.54296875" style="4" customWidth="1"/>
    <col min="1027" max="1027" width="40.54296875" style="4" customWidth="1"/>
    <col min="1028" max="1033" width="10.54296875" style="4" customWidth="1"/>
    <col min="1034" max="1035" width="9.54296875" style="4" bestFit="1" customWidth="1"/>
    <col min="1036" max="1281" width="9" style="4"/>
    <col min="1282" max="1282" width="1.54296875" style="4" customWidth="1"/>
    <col min="1283" max="1283" width="40.54296875" style="4" customWidth="1"/>
    <col min="1284" max="1289" width="10.54296875" style="4" customWidth="1"/>
    <col min="1290" max="1291" width="9.54296875" style="4" bestFit="1" customWidth="1"/>
    <col min="1292" max="1537" width="9" style="4"/>
    <col min="1538" max="1538" width="1.54296875" style="4" customWidth="1"/>
    <col min="1539" max="1539" width="40.54296875" style="4" customWidth="1"/>
    <col min="1540" max="1545" width="10.54296875" style="4" customWidth="1"/>
    <col min="1546" max="1547" width="9.54296875" style="4" bestFit="1" customWidth="1"/>
    <col min="1548" max="1793" width="9" style="4"/>
    <col min="1794" max="1794" width="1.54296875" style="4" customWidth="1"/>
    <col min="1795" max="1795" width="40.54296875" style="4" customWidth="1"/>
    <col min="1796" max="1801" width="10.54296875" style="4" customWidth="1"/>
    <col min="1802" max="1803" width="9.54296875" style="4" bestFit="1" customWidth="1"/>
    <col min="1804" max="2049" width="9" style="4"/>
    <col min="2050" max="2050" width="1.54296875" style="4" customWidth="1"/>
    <col min="2051" max="2051" width="40.54296875" style="4" customWidth="1"/>
    <col min="2052" max="2057" width="10.54296875" style="4" customWidth="1"/>
    <col min="2058" max="2059" width="9.54296875" style="4" bestFit="1" customWidth="1"/>
    <col min="2060" max="2305" width="9" style="4"/>
    <col min="2306" max="2306" width="1.54296875" style="4" customWidth="1"/>
    <col min="2307" max="2307" width="40.54296875" style="4" customWidth="1"/>
    <col min="2308" max="2313" width="10.54296875" style="4" customWidth="1"/>
    <col min="2314" max="2315" width="9.54296875" style="4" bestFit="1" customWidth="1"/>
    <col min="2316" max="2561" width="9" style="4"/>
    <col min="2562" max="2562" width="1.54296875" style="4" customWidth="1"/>
    <col min="2563" max="2563" width="40.54296875" style="4" customWidth="1"/>
    <col min="2564" max="2569" width="10.54296875" style="4" customWidth="1"/>
    <col min="2570" max="2571" width="9.54296875" style="4" bestFit="1" customWidth="1"/>
    <col min="2572" max="2817" width="9" style="4"/>
    <col min="2818" max="2818" width="1.54296875" style="4" customWidth="1"/>
    <col min="2819" max="2819" width="40.54296875" style="4" customWidth="1"/>
    <col min="2820" max="2825" width="10.54296875" style="4" customWidth="1"/>
    <col min="2826" max="2827" width="9.54296875" style="4" bestFit="1" customWidth="1"/>
    <col min="2828" max="3073" width="9" style="4"/>
    <col min="3074" max="3074" width="1.54296875" style="4" customWidth="1"/>
    <col min="3075" max="3075" width="40.54296875" style="4" customWidth="1"/>
    <col min="3076" max="3081" width="10.54296875" style="4" customWidth="1"/>
    <col min="3082" max="3083" width="9.54296875" style="4" bestFit="1" customWidth="1"/>
    <col min="3084" max="3329" width="9" style="4"/>
    <col min="3330" max="3330" width="1.54296875" style="4" customWidth="1"/>
    <col min="3331" max="3331" width="40.54296875" style="4" customWidth="1"/>
    <col min="3332" max="3337" width="10.54296875" style="4" customWidth="1"/>
    <col min="3338" max="3339" width="9.54296875" style="4" bestFit="1" customWidth="1"/>
    <col min="3340" max="3585" width="9" style="4"/>
    <col min="3586" max="3586" width="1.54296875" style="4" customWidth="1"/>
    <col min="3587" max="3587" width="40.54296875" style="4" customWidth="1"/>
    <col min="3588" max="3593" width="10.54296875" style="4" customWidth="1"/>
    <col min="3594" max="3595" width="9.54296875" style="4" bestFit="1" customWidth="1"/>
    <col min="3596" max="3841" width="9" style="4"/>
    <col min="3842" max="3842" width="1.54296875" style="4" customWidth="1"/>
    <col min="3843" max="3843" width="40.54296875" style="4" customWidth="1"/>
    <col min="3844" max="3849" width="10.54296875" style="4" customWidth="1"/>
    <col min="3850" max="3851" width="9.54296875" style="4" bestFit="1" customWidth="1"/>
    <col min="3852" max="4097" width="9" style="4"/>
    <col min="4098" max="4098" width="1.54296875" style="4" customWidth="1"/>
    <col min="4099" max="4099" width="40.54296875" style="4" customWidth="1"/>
    <col min="4100" max="4105" width="10.54296875" style="4" customWidth="1"/>
    <col min="4106" max="4107" width="9.54296875" style="4" bestFit="1" customWidth="1"/>
    <col min="4108" max="4353" width="9" style="4"/>
    <col min="4354" max="4354" width="1.54296875" style="4" customWidth="1"/>
    <col min="4355" max="4355" width="40.54296875" style="4" customWidth="1"/>
    <col min="4356" max="4361" width="10.54296875" style="4" customWidth="1"/>
    <col min="4362" max="4363" width="9.54296875" style="4" bestFit="1" customWidth="1"/>
    <col min="4364" max="4609" width="9" style="4"/>
    <col min="4610" max="4610" width="1.54296875" style="4" customWidth="1"/>
    <col min="4611" max="4611" width="40.54296875" style="4" customWidth="1"/>
    <col min="4612" max="4617" width="10.54296875" style="4" customWidth="1"/>
    <col min="4618" max="4619" width="9.54296875" style="4" bestFit="1" customWidth="1"/>
    <col min="4620" max="4865" width="9" style="4"/>
    <col min="4866" max="4866" width="1.54296875" style="4" customWidth="1"/>
    <col min="4867" max="4867" width="40.54296875" style="4" customWidth="1"/>
    <col min="4868" max="4873" width="10.54296875" style="4" customWidth="1"/>
    <col min="4874" max="4875" width="9.54296875" style="4" bestFit="1" customWidth="1"/>
    <col min="4876" max="5121" width="9" style="4"/>
    <col min="5122" max="5122" width="1.54296875" style="4" customWidth="1"/>
    <col min="5123" max="5123" width="40.54296875" style="4" customWidth="1"/>
    <col min="5124" max="5129" width="10.54296875" style="4" customWidth="1"/>
    <col min="5130" max="5131" width="9.54296875" style="4" bestFit="1" customWidth="1"/>
    <col min="5132" max="5377" width="9" style="4"/>
    <col min="5378" max="5378" width="1.54296875" style="4" customWidth="1"/>
    <col min="5379" max="5379" width="40.54296875" style="4" customWidth="1"/>
    <col min="5380" max="5385" width="10.54296875" style="4" customWidth="1"/>
    <col min="5386" max="5387" width="9.54296875" style="4" bestFit="1" customWidth="1"/>
    <col min="5388" max="5633" width="9" style="4"/>
    <col min="5634" max="5634" width="1.54296875" style="4" customWidth="1"/>
    <col min="5635" max="5635" width="40.54296875" style="4" customWidth="1"/>
    <col min="5636" max="5641" width="10.54296875" style="4" customWidth="1"/>
    <col min="5642" max="5643" width="9.54296875" style="4" bestFit="1" customWidth="1"/>
    <col min="5644" max="5889" width="9" style="4"/>
    <col min="5890" max="5890" width="1.54296875" style="4" customWidth="1"/>
    <col min="5891" max="5891" width="40.54296875" style="4" customWidth="1"/>
    <col min="5892" max="5897" width="10.54296875" style="4" customWidth="1"/>
    <col min="5898" max="5899" width="9.54296875" style="4" bestFit="1" customWidth="1"/>
    <col min="5900" max="6145" width="9" style="4"/>
    <col min="6146" max="6146" width="1.54296875" style="4" customWidth="1"/>
    <col min="6147" max="6147" width="40.54296875" style="4" customWidth="1"/>
    <col min="6148" max="6153" width="10.54296875" style="4" customWidth="1"/>
    <col min="6154" max="6155" width="9.54296875" style="4" bestFit="1" customWidth="1"/>
    <col min="6156" max="6401" width="9" style="4"/>
    <col min="6402" max="6402" width="1.54296875" style="4" customWidth="1"/>
    <col min="6403" max="6403" width="40.54296875" style="4" customWidth="1"/>
    <col min="6404" max="6409" width="10.54296875" style="4" customWidth="1"/>
    <col min="6410" max="6411" width="9.54296875" style="4" bestFit="1" customWidth="1"/>
    <col min="6412" max="6657" width="9" style="4"/>
    <col min="6658" max="6658" width="1.54296875" style="4" customWidth="1"/>
    <col min="6659" max="6659" width="40.54296875" style="4" customWidth="1"/>
    <col min="6660" max="6665" width="10.54296875" style="4" customWidth="1"/>
    <col min="6666" max="6667" width="9.54296875" style="4" bestFit="1" customWidth="1"/>
    <col min="6668" max="6913" width="9" style="4"/>
    <col min="6914" max="6914" width="1.54296875" style="4" customWidth="1"/>
    <col min="6915" max="6915" width="40.54296875" style="4" customWidth="1"/>
    <col min="6916" max="6921" width="10.54296875" style="4" customWidth="1"/>
    <col min="6922" max="6923" width="9.54296875" style="4" bestFit="1" customWidth="1"/>
    <col min="6924" max="7169" width="9" style="4"/>
    <col min="7170" max="7170" width="1.54296875" style="4" customWidth="1"/>
    <col min="7171" max="7171" width="40.54296875" style="4" customWidth="1"/>
    <col min="7172" max="7177" width="10.54296875" style="4" customWidth="1"/>
    <col min="7178" max="7179" width="9.54296875" style="4" bestFit="1" customWidth="1"/>
    <col min="7180" max="7425" width="9" style="4"/>
    <col min="7426" max="7426" width="1.54296875" style="4" customWidth="1"/>
    <col min="7427" max="7427" width="40.54296875" style="4" customWidth="1"/>
    <col min="7428" max="7433" width="10.54296875" style="4" customWidth="1"/>
    <col min="7434" max="7435" width="9.54296875" style="4" bestFit="1" customWidth="1"/>
    <col min="7436" max="7681" width="9" style="4"/>
    <col min="7682" max="7682" width="1.54296875" style="4" customWidth="1"/>
    <col min="7683" max="7683" width="40.54296875" style="4" customWidth="1"/>
    <col min="7684" max="7689" width="10.54296875" style="4" customWidth="1"/>
    <col min="7690" max="7691" width="9.54296875" style="4" bestFit="1" customWidth="1"/>
    <col min="7692" max="7937" width="9" style="4"/>
    <col min="7938" max="7938" width="1.54296875" style="4" customWidth="1"/>
    <col min="7939" max="7939" width="40.54296875" style="4" customWidth="1"/>
    <col min="7940" max="7945" width="10.54296875" style="4" customWidth="1"/>
    <col min="7946" max="7947" width="9.54296875" style="4" bestFit="1" customWidth="1"/>
    <col min="7948" max="8193" width="9" style="4"/>
    <col min="8194" max="8194" width="1.54296875" style="4" customWidth="1"/>
    <col min="8195" max="8195" width="40.54296875" style="4" customWidth="1"/>
    <col min="8196" max="8201" width="10.54296875" style="4" customWidth="1"/>
    <col min="8202" max="8203" width="9.54296875" style="4" bestFit="1" customWidth="1"/>
    <col min="8204" max="8449" width="9" style="4"/>
    <col min="8450" max="8450" width="1.54296875" style="4" customWidth="1"/>
    <col min="8451" max="8451" width="40.54296875" style="4" customWidth="1"/>
    <col min="8452" max="8457" width="10.54296875" style="4" customWidth="1"/>
    <col min="8458" max="8459" width="9.54296875" style="4" bestFit="1" customWidth="1"/>
    <col min="8460" max="8705" width="9" style="4"/>
    <col min="8706" max="8706" width="1.54296875" style="4" customWidth="1"/>
    <col min="8707" max="8707" width="40.54296875" style="4" customWidth="1"/>
    <col min="8708" max="8713" width="10.54296875" style="4" customWidth="1"/>
    <col min="8714" max="8715" width="9.54296875" style="4" bestFit="1" customWidth="1"/>
    <col min="8716" max="8961" width="9" style="4"/>
    <col min="8962" max="8962" width="1.54296875" style="4" customWidth="1"/>
    <col min="8963" max="8963" width="40.54296875" style="4" customWidth="1"/>
    <col min="8964" max="8969" width="10.54296875" style="4" customWidth="1"/>
    <col min="8970" max="8971" width="9.54296875" style="4" bestFit="1" customWidth="1"/>
    <col min="8972" max="9217" width="9" style="4"/>
    <col min="9218" max="9218" width="1.54296875" style="4" customWidth="1"/>
    <col min="9219" max="9219" width="40.54296875" style="4" customWidth="1"/>
    <col min="9220" max="9225" width="10.54296875" style="4" customWidth="1"/>
    <col min="9226" max="9227" width="9.54296875" style="4" bestFit="1" customWidth="1"/>
    <col min="9228" max="9473" width="9" style="4"/>
    <col min="9474" max="9474" width="1.54296875" style="4" customWidth="1"/>
    <col min="9475" max="9475" width="40.54296875" style="4" customWidth="1"/>
    <col min="9476" max="9481" width="10.54296875" style="4" customWidth="1"/>
    <col min="9482" max="9483" width="9.54296875" style="4" bestFit="1" customWidth="1"/>
    <col min="9484" max="9729" width="9" style="4"/>
    <col min="9730" max="9730" width="1.54296875" style="4" customWidth="1"/>
    <col min="9731" max="9731" width="40.54296875" style="4" customWidth="1"/>
    <col min="9732" max="9737" width="10.54296875" style="4" customWidth="1"/>
    <col min="9738" max="9739" width="9.54296875" style="4" bestFit="1" customWidth="1"/>
    <col min="9740" max="9985" width="9" style="4"/>
    <col min="9986" max="9986" width="1.54296875" style="4" customWidth="1"/>
    <col min="9987" max="9987" width="40.54296875" style="4" customWidth="1"/>
    <col min="9988" max="9993" width="10.54296875" style="4" customWidth="1"/>
    <col min="9994" max="9995" width="9.54296875" style="4" bestFit="1" customWidth="1"/>
    <col min="9996" max="10241" width="9" style="4"/>
    <col min="10242" max="10242" width="1.54296875" style="4" customWidth="1"/>
    <col min="10243" max="10243" width="40.54296875" style="4" customWidth="1"/>
    <col min="10244" max="10249" width="10.54296875" style="4" customWidth="1"/>
    <col min="10250" max="10251" width="9.54296875" style="4" bestFit="1" customWidth="1"/>
    <col min="10252" max="10497" width="9" style="4"/>
    <col min="10498" max="10498" width="1.54296875" style="4" customWidth="1"/>
    <col min="10499" max="10499" width="40.54296875" style="4" customWidth="1"/>
    <col min="10500" max="10505" width="10.54296875" style="4" customWidth="1"/>
    <col min="10506" max="10507" width="9.54296875" style="4" bestFit="1" customWidth="1"/>
    <col min="10508" max="10753" width="9" style="4"/>
    <col min="10754" max="10754" width="1.54296875" style="4" customWidth="1"/>
    <col min="10755" max="10755" width="40.54296875" style="4" customWidth="1"/>
    <col min="10756" max="10761" width="10.54296875" style="4" customWidth="1"/>
    <col min="10762" max="10763" width="9.54296875" style="4" bestFit="1" customWidth="1"/>
    <col min="10764" max="11009" width="9" style="4"/>
    <col min="11010" max="11010" width="1.54296875" style="4" customWidth="1"/>
    <col min="11011" max="11011" width="40.54296875" style="4" customWidth="1"/>
    <col min="11012" max="11017" width="10.54296875" style="4" customWidth="1"/>
    <col min="11018" max="11019" width="9.54296875" style="4" bestFit="1" customWidth="1"/>
    <col min="11020" max="11265" width="9" style="4"/>
    <col min="11266" max="11266" width="1.54296875" style="4" customWidth="1"/>
    <col min="11267" max="11267" width="40.54296875" style="4" customWidth="1"/>
    <col min="11268" max="11273" width="10.54296875" style="4" customWidth="1"/>
    <col min="11274" max="11275" width="9.54296875" style="4" bestFit="1" customWidth="1"/>
    <col min="11276" max="11521" width="9" style="4"/>
    <col min="11522" max="11522" width="1.54296875" style="4" customWidth="1"/>
    <col min="11523" max="11523" width="40.54296875" style="4" customWidth="1"/>
    <col min="11524" max="11529" width="10.54296875" style="4" customWidth="1"/>
    <col min="11530" max="11531" width="9.54296875" style="4" bestFit="1" customWidth="1"/>
    <col min="11532" max="11777" width="9" style="4"/>
    <col min="11778" max="11778" width="1.54296875" style="4" customWidth="1"/>
    <col min="11779" max="11779" width="40.54296875" style="4" customWidth="1"/>
    <col min="11780" max="11785" width="10.54296875" style="4" customWidth="1"/>
    <col min="11786" max="11787" width="9.54296875" style="4" bestFit="1" customWidth="1"/>
    <col min="11788" max="12033" width="9" style="4"/>
    <col min="12034" max="12034" width="1.54296875" style="4" customWidth="1"/>
    <col min="12035" max="12035" width="40.54296875" style="4" customWidth="1"/>
    <col min="12036" max="12041" width="10.54296875" style="4" customWidth="1"/>
    <col min="12042" max="12043" width="9.54296875" style="4" bestFit="1" customWidth="1"/>
    <col min="12044" max="12289" width="9" style="4"/>
    <col min="12290" max="12290" width="1.54296875" style="4" customWidth="1"/>
    <col min="12291" max="12291" width="40.54296875" style="4" customWidth="1"/>
    <col min="12292" max="12297" width="10.54296875" style="4" customWidth="1"/>
    <col min="12298" max="12299" width="9.54296875" style="4" bestFit="1" customWidth="1"/>
    <col min="12300" max="12545" width="9" style="4"/>
    <col min="12546" max="12546" width="1.54296875" style="4" customWidth="1"/>
    <col min="12547" max="12547" width="40.54296875" style="4" customWidth="1"/>
    <col min="12548" max="12553" width="10.54296875" style="4" customWidth="1"/>
    <col min="12554" max="12555" width="9.54296875" style="4" bestFit="1" customWidth="1"/>
    <col min="12556" max="12801" width="9" style="4"/>
    <col min="12802" max="12802" width="1.54296875" style="4" customWidth="1"/>
    <col min="12803" max="12803" width="40.54296875" style="4" customWidth="1"/>
    <col min="12804" max="12809" width="10.54296875" style="4" customWidth="1"/>
    <col min="12810" max="12811" width="9.54296875" style="4" bestFit="1" customWidth="1"/>
    <col min="12812" max="13057" width="9" style="4"/>
    <col min="13058" max="13058" width="1.54296875" style="4" customWidth="1"/>
    <col min="13059" max="13059" width="40.54296875" style="4" customWidth="1"/>
    <col min="13060" max="13065" width="10.54296875" style="4" customWidth="1"/>
    <col min="13066" max="13067" width="9.54296875" style="4" bestFit="1" customWidth="1"/>
    <col min="13068" max="13313" width="9" style="4"/>
    <col min="13314" max="13314" width="1.54296875" style="4" customWidth="1"/>
    <col min="13315" max="13315" width="40.54296875" style="4" customWidth="1"/>
    <col min="13316" max="13321" width="10.54296875" style="4" customWidth="1"/>
    <col min="13322" max="13323" width="9.54296875" style="4" bestFit="1" customWidth="1"/>
    <col min="13324" max="13569" width="9" style="4"/>
    <col min="13570" max="13570" width="1.54296875" style="4" customWidth="1"/>
    <col min="13571" max="13571" width="40.54296875" style="4" customWidth="1"/>
    <col min="13572" max="13577" width="10.54296875" style="4" customWidth="1"/>
    <col min="13578" max="13579" width="9.54296875" style="4" bestFit="1" customWidth="1"/>
    <col min="13580" max="13825" width="9" style="4"/>
    <col min="13826" max="13826" width="1.54296875" style="4" customWidth="1"/>
    <col min="13827" max="13827" width="40.54296875" style="4" customWidth="1"/>
    <col min="13828" max="13833" width="10.54296875" style="4" customWidth="1"/>
    <col min="13834" max="13835" width="9.54296875" style="4" bestFit="1" customWidth="1"/>
    <col min="13836" max="14081" width="9" style="4"/>
    <col min="14082" max="14082" width="1.54296875" style="4" customWidth="1"/>
    <col min="14083" max="14083" width="40.54296875" style="4" customWidth="1"/>
    <col min="14084" max="14089" width="10.54296875" style="4" customWidth="1"/>
    <col min="14090" max="14091" width="9.54296875" style="4" bestFit="1" customWidth="1"/>
    <col min="14092" max="14337" width="9" style="4"/>
    <col min="14338" max="14338" width="1.54296875" style="4" customWidth="1"/>
    <col min="14339" max="14339" width="40.54296875" style="4" customWidth="1"/>
    <col min="14340" max="14345" width="10.54296875" style="4" customWidth="1"/>
    <col min="14346" max="14347" width="9.54296875" style="4" bestFit="1" customWidth="1"/>
    <col min="14348" max="14593" width="9" style="4"/>
    <col min="14594" max="14594" width="1.54296875" style="4" customWidth="1"/>
    <col min="14595" max="14595" width="40.54296875" style="4" customWidth="1"/>
    <col min="14596" max="14601" width="10.54296875" style="4" customWidth="1"/>
    <col min="14602" max="14603" width="9.54296875" style="4" bestFit="1" customWidth="1"/>
    <col min="14604" max="14849" width="9" style="4"/>
    <col min="14850" max="14850" width="1.54296875" style="4" customWidth="1"/>
    <col min="14851" max="14851" width="40.54296875" style="4" customWidth="1"/>
    <col min="14852" max="14857" width="10.54296875" style="4" customWidth="1"/>
    <col min="14858" max="14859" width="9.54296875" style="4" bestFit="1" customWidth="1"/>
    <col min="14860" max="15105" width="9" style="4"/>
    <col min="15106" max="15106" width="1.54296875" style="4" customWidth="1"/>
    <col min="15107" max="15107" width="40.54296875" style="4" customWidth="1"/>
    <col min="15108" max="15113" width="10.54296875" style="4" customWidth="1"/>
    <col min="15114" max="15115" width="9.54296875" style="4" bestFit="1" customWidth="1"/>
    <col min="15116" max="15361" width="9" style="4"/>
    <col min="15362" max="15362" width="1.54296875" style="4" customWidth="1"/>
    <col min="15363" max="15363" width="40.54296875" style="4" customWidth="1"/>
    <col min="15364" max="15369" width="10.54296875" style="4" customWidth="1"/>
    <col min="15370" max="15371" width="9.54296875" style="4" bestFit="1" customWidth="1"/>
    <col min="15372" max="15617" width="9" style="4"/>
    <col min="15618" max="15618" width="1.54296875" style="4" customWidth="1"/>
    <col min="15619" max="15619" width="40.54296875" style="4" customWidth="1"/>
    <col min="15620" max="15625" width="10.54296875" style="4" customWidth="1"/>
    <col min="15626" max="15627" width="9.54296875" style="4" bestFit="1" customWidth="1"/>
    <col min="15628" max="15873" width="9" style="4"/>
    <col min="15874" max="15874" width="1.54296875" style="4" customWidth="1"/>
    <col min="15875" max="15875" width="40.54296875" style="4" customWidth="1"/>
    <col min="15876" max="15881" width="10.54296875" style="4" customWidth="1"/>
    <col min="15882" max="15883" width="9.54296875" style="4" bestFit="1" customWidth="1"/>
    <col min="15884" max="16129" width="9" style="4"/>
    <col min="16130" max="16130" width="1.54296875" style="4" customWidth="1"/>
    <col min="16131" max="16131" width="40.54296875" style="4" customWidth="1"/>
    <col min="16132" max="16137" width="10.54296875" style="4" customWidth="1"/>
    <col min="16138" max="16139" width="9.54296875" style="4" bestFit="1" customWidth="1"/>
    <col min="16140" max="16383" width="9" style="4"/>
    <col min="16384" max="16384" width="9" style="4" customWidth="1"/>
  </cols>
  <sheetData>
    <row r="1" spans="1:17" s="16" customFormat="1" ht="18">
      <c r="A1" s="19" t="str">
        <f>CoName</f>
        <v>ServiceNow</v>
      </c>
      <c r="B1" s="20"/>
      <c r="C1" s="21" t="s">
        <v>142</v>
      </c>
      <c r="D1" s="21" t="s">
        <v>142</v>
      </c>
      <c r="E1" s="21" t="s">
        <v>142</v>
      </c>
      <c r="F1" s="21" t="s">
        <v>142</v>
      </c>
      <c r="G1" s="21" t="s">
        <v>142</v>
      </c>
      <c r="H1" s="21" t="s">
        <v>142</v>
      </c>
      <c r="I1" s="21" t="s">
        <v>143</v>
      </c>
      <c r="J1" s="21" t="s">
        <v>143</v>
      </c>
      <c r="K1" s="21" t="s">
        <v>143</v>
      </c>
      <c r="L1" s="21" t="s">
        <v>143</v>
      </c>
      <c r="M1" s="21" t="s">
        <v>143</v>
      </c>
      <c r="N1" s="21" t="s">
        <v>143</v>
      </c>
      <c r="O1" s="21" t="s">
        <v>143</v>
      </c>
      <c r="P1" s="21" t="s">
        <v>143</v>
      </c>
      <c r="Q1" s="21" t="s">
        <v>143</v>
      </c>
    </row>
    <row r="2" spans="1:17" s="16" customFormat="1" ht="18.5" thickBot="1">
      <c r="A2" s="22" t="s">
        <v>199</v>
      </c>
      <c r="B2" s="23"/>
      <c r="C2" s="32">
        <v>2020</v>
      </c>
      <c r="D2" s="32">
        <f>C2+1</f>
        <v>2021</v>
      </c>
      <c r="E2" s="32">
        <f>D2+1</f>
        <v>2022</v>
      </c>
      <c r="F2" s="32">
        <f t="shared" ref="F2:O2" si="0">E2+1</f>
        <v>2023</v>
      </c>
      <c r="G2" s="32">
        <f t="shared" si="0"/>
        <v>2024</v>
      </c>
      <c r="H2" s="32">
        <f t="shared" si="0"/>
        <v>2025</v>
      </c>
      <c r="I2" s="32">
        <f t="shared" si="0"/>
        <v>2026</v>
      </c>
      <c r="J2" s="32">
        <f t="shared" si="0"/>
        <v>2027</v>
      </c>
      <c r="K2" s="32">
        <f t="shared" si="0"/>
        <v>2028</v>
      </c>
      <c r="L2" s="32">
        <f t="shared" si="0"/>
        <v>2029</v>
      </c>
      <c r="M2" s="32">
        <f t="shared" si="0"/>
        <v>2030</v>
      </c>
      <c r="N2" s="32">
        <f t="shared" si="0"/>
        <v>2031</v>
      </c>
      <c r="O2" s="32">
        <f t="shared" si="0"/>
        <v>2032</v>
      </c>
      <c r="P2" s="32">
        <f t="shared" ref="P2" si="1">O2+1</f>
        <v>2033</v>
      </c>
      <c r="Q2" s="32">
        <f t="shared" ref="Q2" si="2">P2+1</f>
        <v>2034</v>
      </c>
    </row>
    <row r="3" spans="1:17" ht="12.5">
      <c r="C3" s="41"/>
      <c r="D3" s="41"/>
      <c r="E3" s="41"/>
      <c r="F3" s="41"/>
      <c r="G3" s="41"/>
      <c r="H3" s="41"/>
      <c r="I3" s="616"/>
      <c r="J3" s="28"/>
      <c r="K3" s="28"/>
      <c r="L3" s="28"/>
      <c r="M3" s="28"/>
      <c r="N3" s="28"/>
      <c r="O3" s="28"/>
      <c r="P3" s="28"/>
      <c r="Q3" s="28"/>
    </row>
    <row r="4" spans="1:17" ht="13">
      <c r="A4"/>
      <c r="B4" s="34" t="s">
        <v>200</v>
      </c>
      <c r="C4" s="91">
        <f>IS!D30</f>
        <v>119.39999999999991</v>
      </c>
      <c r="D4" s="91">
        <f>IS!E30</f>
        <v>230</v>
      </c>
      <c r="E4" s="304">
        <f>IS!F30</f>
        <v>325</v>
      </c>
      <c r="F4" s="304">
        <f>IS!G30</f>
        <v>1731</v>
      </c>
      <c r="G4" s="304">
        <f>IS!H30</f>
        <v>1425</v>
      </c>
      <c r="H4" s="304">
        <f>IS!I30</f>
        <v>1748</v>
      </c>
      <c r="I4" s="617">
        <f>IS!J30</f>
        <v>2032.3824399999999</v>
      </c>
      <c r="J4" s="292">
        <f>IS!K30</f>
        <v>2727.3072292800007</v>
      </c>
      <c r="K4" s="292">
        <f>IS!L30</f>
        <v>3813.3691656636311</v>
      </c>
      <c r="L4" s="292">
        <f>IS!M30</f>
        <v>4738.1785866534092</v>
      </c>
      <c r="M4" s="292">
        <f>IS!N30</f>
        <v>6789.6284014833909</v>
      </c>
      <c r="N4" s="292">
        <f>IS!O30</f>
        <v>8431.6234829867335</v>
      </c>
      <c r="O4" s="292">
        <f>IS!P30</f>
        <v>9781.1520142673653</v>
      </c>
      <c r="P4" s="292">
        <f>IS!Q30</f>
        <v>10528.026392576134</v>
      </c>
      <c r="Q4" s="292">
        <f>IS!R30</f>
        <v>12371.19266471734</v>
      </c>
    </row>
    <row r="5" spans="1:17" ht="12.5">
      <c r="A5"/>
      <c r="B5" s="35" t="s">
        <v>104</v>
      </c>
      <c r="C5" s="42">
        <f>IS!D13</f>
        <v>290.39999999999998</v>
      </c>
      <c r="D5" s="42">
        <f>IS!E13</f>
        <v>396</v>
      </c>
      <c r="E5" s="305">
        <f>IS!F13</f>
        <v>352</v>
      </c>
      <c r="F5" s="305">
        <f>IS!G13</f>
        <v>477</v>
      </c>
      <c r="G5" s="305">
        <f>IS!H13</f>
        <v>470</v>
      </c>
      <c r="H5" s="305">
        <f>IS!I13</f>
        <v>618</v>
      </c>
      <c r="I5" s="617">
        <f>Assumptions!J113</f>
        <v>831.57528553274767</v>
      </c>
      <c r="J5" s="292">
        <f>Assumptions!K113</f>
        <v>1054.4695817176641</v>
      </c>
      <c r="K5" s="292">
        <f>Assumptions!L113</f>
        <v>1218.8793881848333</v>
      </c>
      <c r="L5" s="292">
        <f>Assumptions!M113</f>
        <v>1442.9631492944316</v>
      </c>
      <c r="M5" s="292">
        <f>Assumptions!N113</f>
        <v>1542.0921145359951</v>
      </c>
      <c r="N5" s="292">
        <f>Assumptions!O113</f>
        <v>1576.2972630447523</v>
      </c>
      <c r="O5" s="292">
        <f>Assumptions!P113</f>
        <v>1695.4995708545216</v>
      </c>
      <c r="P5" s="292">
        <f>Assumptions!Q113</f>
        <v>1759.2545347278788</v>
      </c>
      <c r="Q5" s="292">
        <f>Assumptions!R113</f>
        <v>1849.5146610668653</v>
      </c>
    </row>
    <row r="6" spans="1:17" ht="12.5">
      <c r="A6"/>
      <c r="B6" s="35" t="s">
        <v>201</v>
      </c>
      <c r="C6" s="106">
        <f>IS!D14</f>
        <v>46</v>
      </c>
      <c r="D6" s="106">
        <f>IS!E14</f>
        <v>76</v>
      </c>
      <c r="E6" s="306">
        <f>IS!F14</f>
        <v>81</v>
      </c>
      <c r="F6" s="306">
        <f>IS!G14</f>
        <v>85</v>
      </c>
      <c r="G6" s="306">
        <f>IS!H14</f>
        <v>94</v>
      </c>
      <c r="H6" s="306">
        <f>IS!I14</f>
        <v>120</v>
      </c>
      <c r="I6" s="617">
        <f>Assumptions!J117</f>
        <v>345.80462618529629</v>
      </c>
      <c r="J6" s="292">
        <f>Assumptions!K117</f>
        <v>358.89812005263684</v>
      </c>
      <c r="K6" s="292">
        <f>Assumptions!L117</f>
        <v>396.99074842045559</v>
      </c>
      <c r="L6" s="292">
        <f>Assumptions!M117</f>
        <v>456.80174915643079</v>
      </c>
      <c r="M6" s="292">
        <f>Assumptions!N117</f>
        <v>528.43887846479913</v>
      </c>
      <c r="N6" s="292">
        <f>Assumptions!O117</f>
        <v>608.95413612382276</v>
      </c>
      <c r="O6" s="292">
        <f>Assumptions!P117</f>
        <v>688.19671131681446</v>
      </c>
      <c r="P6" s="292">
        <f>Assumptions!Q117</f>
        <v>767.21399513853567</v>
      </c>
      <c r="Q6" s="292">
        <f>Assumptions!R117</f>
        <v>844.07795422674724</v>
      </c>
    </row>
    <row r="7" spans="1:17" ht="12.5">
      <c r="A7"/>
      <c r="B7" s="35" t="s">
        <v>202</v>
      </c>
      <c r="C7" s="106">
        <v>218</v>
      </c>
      <c r="D7" s="106">
        <v>294</v>
      </c>
      <c r="E7" s="306">
        <v>358</v>
      </c>
      <c r="F7" s="306">
        <v>459</v>
      </c>
      <c r="G7" s="306">
        <v>550</v>
      </c>
      <c r="H7" s="306">
        <v>621</v>
      </c>
      <c r="I7" s="617">
        <f>Assumptions!J125</f>
        <v>701.16545454545451</v>
      </c>
      <c r="J7" s="292">
        <f>Assumptions!K125</f>
        <v>791.67954049586774</v>
      </c>
      <c r="K7" s="292">
        <f>Assumptions!L125</f>
        <v>893.87817208715251</v>
      </c>
      <c r="L7" s="292">
        <f>Assumptions!M125</f>
        <v>1009.2697179384031</v>
      </c>
      <c r="M7" s="292">
        <f>Assumptions!N125</f>
        <v>1139.557263344997</v>
      </c>
      <c r="N7" s="292">
        <f>Assumptions!O125</f>
        <v>1286.6637464313512</v>
      </c>
      <c r="O7" s="292">
        <f>Assumptions!P125</f>
        <v>1452.7603391524892</v>
      </c>
      <c r="P7" s="292">
        <f>Assumptions!Q125</f>
        <v>1640.2984920249014</v>
      </c>
      <c r="Q7" s="292">
        <f>Assumptions!R125</f>
        <v>1852.0461155408432</v>
      </c>
    </row>
    <row r="8" spans="1:17" ht="12.5">
      <c r="A8"/>
      <c r="B8" s="35" t="s">
        <v>203</v>
      </c>
      <c r="C8" s="106">
        <v>870</v>
      </c>
      <c r="D8" s="106">
        <v>1131</v>
      </c>
      <c r="E8" s="306">
        <v>1401</v>
      </c>
      <c r="F8" s="306">
        <v>1604</v>
      </c>
      <c r="G8" s="306">
        <v>1746</v>
      </c>
      <c r="H8" s="306">
        <v>1955</v>
      </c>
      <c r="I8" s="617">
        <f>0.148*IS!J4</f>
        <v>2298.44</v>
      </c>
      <c r="J8" s="292">
        <f>0.135*IS!K4</f>
        <v>2604.8712240000004</v>
      </c>
      <c r="K8" s="292">
        <f>0.135*IS!L4</f>
        <v>3190.7571791399996</v>
      </c>
      <c r="L8" s="292">
        <f>0.1*IS!M4</f>
        <v>2756.115586896</v>
      </c>
      <c r="M8" s="292">
        <f>0.07*IS!N4</f>
        <v>2210.4498829133281</v>
      </c>
      <c r="N8" s="292">
        <f>0.05*IS!O4</f>
        <v>1731.6719414690303</v>
      </c>
      <c r="O8" s="292">
        <f>0.035*IS!P4</f>
        <v>1322.087501753771</v>
      </c>
      <c r="P8" s="292">
        <f>0.015*IS!Q4</f>
        <v>609.83102072653332</v>
      </c>
      <c r="Q8" s="292">
        <f>0.01*IS!R4</f>
        <v>437.43444260636289</v>
      </c>
    </row>
    <row r="9" spans="1:17" ht="12.5">
      <c r="A9"/>
      <c r="B9" s="35" t="s">
        <v>204</v>
      </c>
      <c r="C9" s="106">
        <v>246.3</v>
      </c>
      <c r="D9" s="106">
        <v>33</v>
      </c>
      <c r="E9" s="306">
        <v>32</v>
      </c>
      <c r="F9" s="306">
        <v>-851</v>
      </c>
      <c r="G9" s="306">
        <v>47</v>
      </c>
      <c r="H9" s="306">
        <v>353</v>
      </c>
      <c r="I9" s="618"/>
      <c r="J9" s="293"/>
      <c r="K9" s="293"/>
      <c r="L9" s="293"/>
      <c r="M9" s="294"/>
      <c r="N9" s="293"/>
      <c r="O9" s="293"/>
      <c r="P9" s="293"/>
      <c r="Q9" s="293"/>
    </row>
    <row r="10" spans="1:17" ht="12.5">
      <c r="A10"/>
      <c r="B10" s="88" t="s">
        <v>205</v>
      </c>
      <c r="C10" s="106">
        <v>-2.5</v>
      </c>
      <c r="D10" s="106">
        <v>31</v>
      </c>
      <c r="E10" s="624">
        <v>174</v>
      </c>
      <c r="F10" s="624">
        <v>-107</v>
      </c>
      <c r="G10" s="624">
        <v>-65</v>
      </c>
      <c r="H10" s="624">
        <v>29</v>
      </c>
      <c r="I10" s="625">
        <f>Assumptions!J109</f>
        <v>-151.32351781127181</v>
      </c>
      <c r="J10" s="626">
        <f>Assumptions!K109</f>
        <v>-173.99999674134415</v>
      </c>
      <c r="K10" s="626">
        <f>Assumptions!L109</f>
        <v>-280.8433515052302</v>
      </c>
      <c r="L10" s="626">
        <f>Assumptions!M109</f>
        <v>-300.08039756039125</v>
      </c>
      <c r="M10" s="626">
        <f>Assumptions!N109</f>
        <v>-377.44864414092899</v>
      </c>
      <c r="N10" s="626">
        <f>Assumptions!O109</f>
        <v>1158.3152114280701</v>
      </c>
      <c r="O10" s="626">
        <f>Assumptions!P109</f>
        <v>-111.87091874040198</v>
      </c>
      <c r="P10" s="626">
        <f>Assumptions!Q109</f>
        <v>-8.0985363351519482</v>
      </c>
      <c r="Q10" s="626">
        <f>Assumptions!R109</f>
        <v>260.12793417179091</v>
      </c>
    </row>
    <row r="11" spans="1:17" ht="13">
      <c r="A11"/>
      <c r="B11" s="34" t="s">
        <v>206</v>
      </c>
      <c r="C11" s="107">
        <f>C4+C5+C6+C8+C9+C10+C7</f>
        <v>1787.6</v>
      </c>
      <c r="D11" s="107">
        <f>D4+D5+D6+D8+D9+D10+D7</f>
        <v>2191</v>
      </c>
      <c r="E11" s="307">
        <f t="shared" ref="E11:G11" si="3">E4+E5+E6+E8+E9+E10+E7</f>
        <v>2723</v>
      </c>
      <c r="F11" s="307">
        <f t="shared" si="3"/>
        <v>3398</v>
      </c>
      <c r="G11" s="307">
        <f t="shared" si="3"/>
        <v>4267</v>
      </c>
      <c r="H11" s="307">
        <f>H4+H5+H6+H8+H9+H10+H7</f>
        <v>5444</v>
      </c>
      <c r="I11" s="619">
        <f t="shared" ref="I11:Q11" si="4">I4+I5+I6+I8+I9+I10+I7</f>
        <v>6058.0442884522272</v>
      </c>
      <c r="J11" s="295">
        <f t="shared" si="4"/>
        <v>7363.2256988048257</v>
      </c>
      <c r="K11" s="295">
        <f t="shared" si="4"/>
        <v>9233.0313019908426</v>
      </c>
      <c r="L11" s="295">
        <f t="shared" si="4"/>
        <v>10103.248392378284</v>
      </c>
      <c r="M11" s="295">
        <f t="shared" si="4"/>
        <v>11832.717896601584</v>
      </c>
      <c r="N11" s="295">
        <f t="shared" si="4"/>
        <v>14793.525781483762</v>
      </c>
      <c r="O11" s="295">
        <f t="shared" si="4"/>
        <v>14827.825218604559</v>
      </c>
      <c r="P11" s="295">
        <f t="shared" si="4"/>
        <v>15296.525898858832</v>
      </c>
      <c r="Q11" s="295">
        <f t="shared" si="4"/>
        <v>17614.39377232995</v>
      </c>
    </row>
    <row r="12" spans="1:17" ht="12.5">
      <c r="A12"/>
      <c r="B12" s="35"/>
      <c r="C12" s="106"/>
      <c r="D12" s="106"/>
      <c r="E12" s="306"/>
      <c r="F12" s="306"/>
      <c r="G12" s="308"/>
      <c r="H12" s="308"/>
      <c r="I12" s="618"/>
      <c r="J12" s="293"/>
      <c r="K12" s="293"/>
      <c r="L12" s="293"/>
      <c r="M12" s="294"/>
      <c r="N12" s="293"/>
      <c r="O12" s="293"/>
      <c r="P12" s="293"/>
      <c r="Q12" s="293"/>
    </row>
    <row r="13" spans="1:17" ht="12.5">
      <c r="A13"/>
      <c r="B13" s="35"/>
      <c r="C13" s="106"/>
      <c r="D13" s="106"/>
      <c r="E13" s="306"/>
      <c r="F13" s="306"/>
      <c r="G13" s="306"/>
      <c r="H13" s="306"/>
      <c r="I13" s="618"/>
      <c r="J13" s="293"/>
      <c r="K13" s="293"/>
      <c r="L13" s="293"/>
      <c r="M13" s="294"/>
      <c r="N13" s="293"/>
      <c r="O13" s="293"/>
      <c r="P13" s="293"/>
      <c r="Q13" s="293"/>
    </row>
    <row r="14" spans="1:17" ht="12.5">
      <c r="A14"/>
      <c r="B14" s="35" t="s">
        <v>116</v>
      </c>
      <c r="C14" s="106">
        <v>-419</v>
      </c>
      <c r="D14" s="106">
        <v>-392</v>
      </c>
      <c r="E14" s="306">
        <v>-550</v>
      </c>
      <c r="F14" s="306">
        <v>-694</v>
      </c>
      <c r="G14" s="306">
        <v>-852</v>
      </c>
      <c r="H14" s="306">
        <v>-868</v>
      </c>
      <c r="I14" s="617">
        <f>-Assumptions!J134</f>
        <v>-1178.7492398269078</v>
      </c>
      <c r="J14" s="292">
        <f>-Assumptions!K134</f>
        <v>-1543.6273920000001</v>
      </c>
      <c r="K14" s="292">
        <f>-Assumptions!L134</f>
        <v>-1890.8190691199998</v>
      </c>
      <c r="L14" s="292">
        <f>-Assumptions!M134</f>
        <v>-1929.2809108272002</v>
      </c>
      <c r="M14" s="292">
        <f>-Assumptions!N134</f>
        <v>-1894.6713282114238</v>
      </c>
      <c r="N14" s="292">
        <f>-Assumptions!O134</f>
        <v>-2078.0063297628362</v>
      </c>
      <c r="O14" s="292">
        <f>-Assumptions!P134</f>
        <v>-1888.6964310768155</v>
      </c>
      <c r="P14" s="292">
        <f>-Assumptions!Q134</f>
        <v>-2032.7700690884446</v>
      </c>
      <c r="Q14" s="292">
        <f>-Assumptions!R134</f>
        <v>-2187.1722130318144</v>
      </c>
    </row>
    <row r="15" spans="1:17" ht="12.5">
      <c r="A15"/>
      <c r="B15" s="35" t="s">
        <v>207</v>
      </c>
      <c r="C15" s="106">
        <v>-107</v>
      </c>
      <c r="D15" s="106">
        <v>-785</v>
      </c>
      <c r="E15" s="306">
        <v>-91</v>
      </c>
      <c r="F15" s="306">
        <v>-279</v>
      </c>
      <c r="G15" s="306">
        <v>-113</v>
      </c>
      <c r="H15" s="306">
        <v>-1084</v>
      </c>
      <c r="I15" s="617">
        <f>-Assumptions!J136</f>
        <v>-388.25</v>
      </c>
      <c r="J15" s="292">
        <f>-Assumptions!K136</f>
        <v>-482.38356000000005</v>
      </c>
      <c r="K15" s="292">
        <f>-Assumptions!L136</f>
        <v>-590.88095909999993</v>
      </c>
      <c r="L15" s="292">
        <f>-Assumptions!M136</f>
        <v>-689.02889672399999</v>
      </c>
      <c r="M15" s="292">
        <f>-Assumptions!N136</f>
        <v>-789.44638675475994</v>
      </c>
      <c r="N15" s="292">
        <f>-Assumptions!O136</f>
        <v>-865.83597073451517</v>
      </c>
      <c r="O15" s="292">
        <f>-Assumptions!P136</f>
        <v>-944.34821553840777</v>
      </c>
      <c r="P15" s="292">
        <f>-Assumptions!Q136</f>
        <v>-1016.3850345442223</v>
      </c>
      <c r="Q15" s="292">
        <f>-Assumptions!R136</f>
        <v>-1093.5861065159072</v>
      </c>
    </row>
    <row r="16" spans="1:17" ht="12.5">
      <c r="A16"/>
      <c r="B16" s="35" t="s">
        <v>208</v>
      </c>
      <c r="C16" s="106"/>
      <c r="D16" s="106"/>
      <c r="E16" s="306"/>
      <c r="F16" s="306"/>
      <c r="G16" s="306"/>
      <c r="H16" s="306"/>
      <c r="I16" s="618"/>
      <c r="J16" s="293"/>
      <c r="K16" s="293"/>
      <c r="L16" s="293"/>
      <c r="M16" s="294"/>
      <c r="N16" s="293"/>
      <c r="O16" s="293"/>
      <c r="P16" s="293"/>
      <c r="Q16" s="293"/>
    </row>
    <row r="17" spans="1:18" ht="12.5">
      <c r="A17"/>
      <c r="B17" s="35" t="s">
        <v>209</v>
      </c>
      <c r="C17" s="106">
        <v>-12</v>
      </c>
      <c r="D17" s="106">
        <v>-71</v>
      </c>
      <c r="E17" s="306">
        <v>-167</v>
      </c>
      <c r="F17" s="306">
        <v>-75</v>
      </c>
      <c r="G17" s="306">
        <v>-181</v>
      </c>
      <c r="H17" s="306">
        <v>-1056</v>
      </c>
      <c r="I17" s="618"/>
      <c r="J17" s="293"/>
      <c r="K17" s="293"/>
      <c r="L17" s="293"/>
      <c r="M17" s="293"/>
      <c r="N17" s="293"/>
      <c r="O17" s="293"/>
      <c r="P17" s="293"/>
      <c r="Q17" s="293"/>
    </row>
    <row r="18" spans="1:18" ht="12.5">
      <c r="A18"/>
      <c r="B18" s="35" t="s">
        <v>210</v>
      </c>
      <c r="C18" s="106">
        <v>-13</v>
      </c>
      <c r="D18" s="106">
        <v>-7</v>
      </c>
      <c r="E18" s="306">
        <v>0</v>
      </c>
      <c r="F18" s="306">
        <v>-3</v>
      </c>
      <c r="G18" s="306">
        <v>-40</v>
      </c>
      <c r="H18" s="306">
        <v>-43</v>
      </c>
      <c r="I18" s="618"/>
      <c r="J18" s="293"/>
      <c r="K18" s="293"/>
      <c r="L18" s="293"/>
      <c r="M18" s="293"/>
      <c r="N18" s="293"/>
      <c r="O18" s="293"/>
      <c r="P18" s="293"/>
      <c r="Q18" s="293"/>
    </row>
    <row r="19" spans="1:18" ht="12.5">
      <c r="A19"/>
      <c r="B19" s="627" t="s">
        <v>211</v>
      </c>
      <c r="C19" s="628">
        <v>-956</v>
      </c>
      <c r="D19" s="628">
        <v>-352</v>
      </c>
      <c r="E19" s="624">
        <v>-1775</v>
      </c>
      <c r="F19" s="624">
        <v>-1116</v>
      </c>
      <c r="G19" s="624">
        <v>-1315</v>
      </c>
      <c r="H19" s="624">
        <v>1362</v>
      </c>
      <c r="I19" s="629"/>
      <c r="J19" s="630"/>
      <c r="K19" s="630"/>
      <c r="L19" s="630"/>
      <c r="M19" s="630"/>
      <c r="N19" s="630"/>
      <c r="O19" s="630"/>
      <c r="P19" s="630"/>
      <c r="Q19" s="630"/>
    </row>
    <row r="20" spans="1:18" ht="13">
      <c r="A20"/>
      <c r="B20" s="34" t="s">
        <v>212</v>
      </c>
      <c r="C20" s="107">
        <f>C14+C15+C17+C19+C18</f>
        <v>-1507</v>
      </c>
      <c r="D20" s="107">
        <f>D14+D15+D17+D19+D18</f>
        <v>-1607</v>
      </c>
      <c r="E20" s="307">
        <f>E14+E15+E17+E19</f>
        <v>-2583</v>
      </c>
      <c r="F20" s="307">
        <f>F14+F15+F17+F19+F18</f>
        <v>-2167</v>
      </c>
      <c r="G20" s="307">
        <f t="shared" ref="G20:Q20" si="5">G14+G15+G17+G19+G18</f>
        <v>-2501</v>
      </c>
      <c r="H20" s="307">
        <f t="shared" si="5"/>
        <v>-1689</v>
      </c>
      <c r="I20" s="620">
        <f t="shared" si="5"/>
        <v>-1566.9992398269078</v>
      </c>
      <c r="J20" s="296">
        <f t="shared" si="5"/>
        <v>-2026.0109520000001</v>
      </c>
      <c r="K20" s="296">
        <f t="shared" si="5"/>
        <v>-2481.7000282199997</v>
      </c>
      <c r="L20" s="296">
        <f t="shared" si="5"/>
        <v>-2618.3098075512003</v>
      </c>
      <c r="M20" s="296">
        <f t="shared" si="5"/>
        <v>-2684.1177149661835</v>
      </c>
      <c r="N20" s="296">
        <f t="shared" si="5"/>
        <v>-2943.8423004973515</v>
      </c>
      <c r="O20" s="296">
        <f t="shared" si="5"/>
        <v>-2833.0446466152234</v>
      </c>
      <c r="P20" s="296">
        <f t="shared" si="5"/>
        <v>-3049.1551036326669</v>
      </c>
      <c r="Q20" s="296">
        <f t="shared" si="5"/>
        <v>-3280.7583195477218</v>
      </c>
    </row>
    <row r="21" spans="1:18" ht="13">
      <c r="A21"/>
      <c r="B21" s="89"/>
      <c r="C21" s="106"/>
      <c r="D21" s="106"/>
      <c r="E21" s="306"/>
      <c r="F21" s="306"/>
      <c r="G21" s="306"/>
      <c r="H21" s="306"/>
      <c r="I21" s="618"/>
      <c r="J21" s="293"/>
      <c r="K21" s="293"/>
      <c r="L21" s="293"/>
      <c r="M21" s="294"/>
      <c r="N21" s="293"/>
      <c r="O21" s="293"/>
      <c r="P21" s="293"/>
      <c r="Q21" s="293"/>
    </row>
    <row r="22" spans="1:18" ht="12.5">
      <c r="A22"/>
      <c r="B22" s="90" t="s">
        <v>213</v>
      </c>
      <c r="C22" s="106">
        <v>2587.1999999999998</v>
      </c>
      <c r="D22" s="106">
        <v>0</v>
      </c>
      <c r="E22" s="306">
        <v>0</v>
      </c>
      <c r="F22" s="306">
        <v>0</v>
      </c>
      <c r="G22" s="306">
        <v>0</v>
      </c>
      <c r="H22" s="306">
        <v>0</v>
      </c>
      <c r="I22" s="621"/>
      <c r="J22" s="297"/>
      <c r="K22" s="297"/>
      <c r="L22" s="297"/>
      <c r="M22" s="298"/>
      <c r="N22" s="297"/>
      <c r="O22" s="297"/>
      <c r="P22" s="297"/>
      <c r="Q22" s="297"/>
    </row>
    <row r="23" spans="1:18" ht="12.5">
      <c r="A23"/>
      <c r="B23" s="90" t="s">
        <v>214</v>
      </c>
      <c r="C23" s="106">
        <v>-1627.7</v>
      </c>
      <c r="D23" s="106">
        <v>-61</v>
      </c>
      <c r="E23" s="306">
        <v>-94</v>
      </c>
      <c r="F23" s="306">
        <v>0</v>
      </c>
      <c r="G23" s="306">
        <v>0</v>
      </c>
      <c r="H23" s="306">
        <v>0</v>
      </c>
      <c r="I23" s="621"/>
      <c r="J23" s="297"/>
      <c r="K23" s="297"/>
      <c r="L23" s="297"/>
      <c r="M23" s="299"/>
      <c r="N23" s="297"/>
      <c r="O23" s="297"/>
      <c r="P23" s="297"/>
      <c r="Q23" s="297"/>
    </row>
    <row r="24" spans="1:18" ht="13">
      <c r="A24"/>
      <c r="B24" s="90" t="s">
        <v>215</v>
      </c>
      <c r="C24" s="106"/>
      <c r="D24" s="106"/>
      <c r="E24" s="306"/>
      <c r="F24" s="306"/>
      <c r="G24" s="306"/>
      <c r="H24" s="306"/>
      <c r="I24" s="618"/>
      <c r="J24" s="293"/>
      <c r="K24" s="293"/>
      <c r="L24" s="293"/>
      <c r="M24" s="294"/>
      <c r="N24" s="293"/>
      <c r="O24" s="293"/>
      <c r="P24" s="300"/>
      <c r="Q24" s="293"/>
    </row>
    <row r="25" spans="1:18" ht="12.5">
      <c r="A25"/>
      <c r="B25" s="90" t="s">
        <v>216</v>
      </c>
      <c r="C25" s="106">
        <v>146</v>
      </c>
      <c r="D25" s="106">
        <v>167</v>
      </c>
      <c r="E25" s="306">
        <v>177</v>
      </c>
      <c r="F25" s="306">
        <v>194</v>
      </c>
      <c r="G25" s="306">
        <v>237</v>
      </c>
      <c r="H25" s="306">
        <v>270</v>
      </c>
      <c r="I25" s="618"/>
      <c r="J25" s="293"/>
      <c r="K25" s="293"/>
      <c r="L25" s="293"/>
      <c r="M25" s="294"/>
      <c r="N25" s="293"/>
      <c r="O25" s="293"/>
      <c r="P25" s="293"/>
      <c r="Q25" s="293"/>
    </row>
    <row r="26" spans="1:18" ht="12.5">
      <c r="A26"/>
      <c r="B26" s="90" t="s">
        <v>217</v>
      </c>
      <c r="C26" s="106">
        <v>0</v>
      </c>
      <c r="D26" s="106">
        <v>0</v>
      </c>
      <c r="E26" s="306">
        <v>0</v>
      </c>
      <c r="F26" s="306">
        <v>-538</v>
      </c>
      <c r="G26" s="306">
        <v>-696</v>
      </c>
      <c r="H26" s="306">
        <v>-1840</v>
      </c>
      <c r="I26" s="618">
        <f>-2000</f>
        <v>-2000</v>
      </c>
      <c r="J26" s="293">
        <f>-J8*1</f>
        <v>-2604.8712240000004</v>
      </c>
      <c r="K26" s="293">
        <f>-K8*1</f>
        <v>-3190.7571791399996</v>
      </c>
      <c r="L26" s="293">
        <f>-L8*1.2</f>
        <v>-3307.3387042751997</v>
      </c>
      <c r="M26" s="293">
        <f>-M8*1.25</f>
        <v>-2763.0623536416601</v>
      </c>
      <c r="N26" s="293">
        <f>-N8*1.5</f>
        <v>-2597.5079122035454</v>
      </c>
      <c r="O26" s="293">
        <f>-O8*1.6</f>
        <v>-2115.3400028060337</v>
      </c>
      <c r="P26" s="293">
        <f>-P8*2</f>
        <v>-1219.6620414530666</v>
      </c>
      <c r="Q26" s="293">
        <f>-Q8*2.2</f>
        <v>-962.35577373399849</v>
      </c>
    </row>
    <row r="27" spans="1:18" ht="12.5">
      <c r="A27"/>
      <c r="B27" s="88" t="s">
        <v>218</v>
      </c>
      <c r="C27" s="106">
        <v>-508.6</v>
      </c>
      <c r="D27" s="106">
        <v>-612</v>
      </c>
      <c r="E27" s="624">
        <v>-427</v>
      </c>
      <c r="F27" s="624">
        <v>-459</v>
      </c>
      <c r="G27" s="624">
        <v>-884</v>
      </c>
      <c r="H27" s="624">
        <v>-770</v>
      </c>
      <c r="I27" s="629">
        <f>H27</f>
        <v>-770</v>
      </c>
      <c r="J27" s="630">
        <f t="shared" ref="J27:O27" si="6">I27</f>
        <v>-770</v>
      </c>
      <c r="K27" s="630">
        <f t="shared" si="6"/>
        <v>-770</v>
      </c>
      <c r="L27" s="630">
        <f t="shared" si="6"/>
        <v>-770</v>
      </c>
      <c r="M27" s="630">
        <f t="shared" si="6"/>
        <v>-770</v>
      </c>
      <c r="N27" s="630">
        <f t="shared" si="6"/>
        <v>-770</v>
      </c>
      <c r="O27" s="630">
        <f t="shared" si="6"/>
        <v>-770</v>
      </c>
      <c r="P27" s="630">
        <f t="shared" ref="P27" si="7">O27</f>
        <v>-770</v>
      </c>
      <c r="Q27" s="630">
        <f t="shared" ref="Q27" si="8">P27</f>
        <v>-770</v>
      </c>
      <c r="R27" s="4" t="s">
        <v>219</v>
      </c>
    </row>
    <row r="28" spans="1:18" ht="13">
      <c r="A28"/>
      <c r="B28" s="34" t="s">
        <v>220</v>
      </c>
      <c r="C28" s="107">
        <f>C22+C23+C24+C25+C26+C27</f>
        <v>596.89999999999975</v>
      </c>
      <c r="D28" s="107">
        <f t="shared" ref="D28:G28" si="9">D22+D23+D24+D25+D26+D27</f>
        <v>-506</v>
      </c>
      <c r="E28" s="307">
        <f t="shared" si="9"/>
        <v>-344</v>
      </c>
      <c r="F28" s="307">
        <f t="shared" si="9"/>
        <v>-803</v>
      </c>
      <c r="G28" s="307">
        <f t="shared" si="9"/>
        <v>-1343</v>
      </c>
      <c r="H28" s="307">
        <f>H22+H23+H24+H25+H26+H27</f>
        <v>-2340</v>
      </c>
      <c r="I28" s="620">
        <f t="shared" ref="I28:Q28" si="10">I22+I23+I24+I25+I26+I27</f>
        <v>-2770</v>
      </c>
      <c r="J28" s="296">
        <f t="shared" si="10"/>
        <v>-3374.8712240000004</v>
      </c>
      <c r="K28" s="296">
        <f t="shared" si="10"/>
        <v>-3960.7571791399996</v>
      </c>
      <c r="L28" s="296">
        <f t="shared" si="10"/>
        <v>-4077.3387042751997</v>
      </c>
      <c r="M28" s="296">
        <f t="shared" si="10"/>
        <v>-3533.0623536416601</v>
      </c>
      <c r="N28" s="296">
        <f t="shared" si="10"/>
        <v>-3367.5079122035454</v>
      </c>
      <c r="O28" s="296">
        <f t="shared" si="10"/>
        <v>-2885.3400028060337</v>
      </c>
      <c r="P28" s="296">
        <f t="shared" si="10"/>
        <v>-1989.6620414530666</v>
      </c>
      <c r="Q28" s="296">
        <f t="shared" si="10"/>
        <v>-1732.3557737339984</v>
      </c>
    </row>
    <row r="29" spans="1:18" ht="12.5">
      <c r="A29"/>
      <c r="B29" s="36"/>
      <c r="C29" s="106"/>
      <c r="D29" s="106"/>
      <c r="E29" s="306"/>
      <c r="F29" s="306"/>
      <c r="G29" s="306"/>
      <c r="H29" s="306"/>
      <c r="I29" s="622"/>
      <c r="J29" s="301"/>
      <c r="K29" s="301"/>
      <c r="L29" s="301"/>
      <c r="M29" s="302"/>
      <c r="N29" s="301"/>
      <c r="O29" s="293"/>
      <c r="P29" s="293"/>
      <c r="Q29" s="293"/>
    </row>
    <row r="30" spans="1:18" ht="12.5">
      <c r="A30"/>
      <c r="B30" s="37" t="s">
        <v>221</v>
      </c>
      <c r="C30" s="106">
        <v>25.1</v>
      </c>
      <c r="D30" s="106">
        <v>-25</v>
      </c>
      <c r="E30" s="306">
        <v>-53</v>
      </c>
      <c r="F30" s="306">
        <v>1</v>
      </c>
      <c r="G30" s="306">
        <v>-17</v>
      </c>
      <c r="H30" s="306">
        <v>7</v>
      </c>
      <c r="I30" s="621"/>
      <c r="J30" s="297"/>
      <c r="K30" s="297"/>
      <c r="L30" s="297"/>
      <c r="M30" s="297"/>
      <c r="N30" s="297"/>
      <c r="O30" s="297"/>
      <c r="P30" s="297"/>
      <c r="Q30" s="297"/>
    </row>
    <row r="31" spans="1:18" ht="12.5">
      <c r="A31"/>
      <c r="B31" s="35"/>
      <c r="C31" s="106"/>
      <c r="D31" s="106"/>
      <c r="E31" s="306"/>
      <c r="F31" s="306"/>
      <c r="G31" s="306"/>
      <c r="H31" s="306"/>
      <c r="I31" s="622"/>
      <c r="J31" s="301"/>
      <c r="K31" s="301"/>
      <c r="L31" s="301"/>
      <c r="M31" s="302"/>
      <c r="N31" s="301"/>
      <c r="O31" s="293"/>
      <c r="P31" s="293"/>
      <c r="Q31" s="293"/>
    </row>
    <row r="32" spans="1:18" s="1" customFormat="1" ht="13">
      <c r="A32"/>
      <c r="B32" s="34" t="s">
        <v>222</v>
      </c>
      <c r="C32" s="43">
        <f>C11+C20+C28+C30</f>
        <v>902.59999999999968</v>
      </c>
      <c r="D32" s="43">
        <f t="shared" ref="D32:N32" si="11">D11+D20+D28+D30</f>
        <v>53</v>
      </c>
      <c r="E32" s="309">
        <f>E11+E20+E28+E30</f>
        <v>-257</v>
      </c>
      <c r="F32" s="309">
        <f t="shared" si="11"/>
        <v>429</v>
      </c>
      <c r="G32" s="309">
        <f t="shared" si="11"/>
        <v>406</v>
      </c>
      <c r="H32" s="309">
        <f>H11+H20+H28+H30</f>
        <v>1422</v>
      </c>
      <c r="I32" s="623">
        <f>I11+I20+I28+I30</f>
        <v>1721.0450486253194</v>
      </c>
      <c r="J32" s="303">
        <f t="shared" si="11"/>
        <v>1962.3435228048256</v>
      </c>
      <c r="K32" s="303">
        <f t="shared" si="11"/>
        <v>2790.5740946308433</v>
      </c>
      <c r="L32" s="303">
        <f t="shared" si="11"/>
        <v>3407.5998805518834</v>
      </c>
      <c r="M32" s="303">
        <f t="shared" si="11"/>
        <v>5615.5378279937395</v>
      </c>
      <c r="N32" s="303">
        <f t="shared" si="11"/>
        <v>8482.1755687828645</v>
      </c>
      <c r="O32" s="303">
        <f>O11+O20+O28+O30</f>
        <v>9109.4405691833035</v>
      </c>
      <c r="P32" s="303">
        <f t="shared" ref="P32:Q32" si="12">P11+P20+P28+P30</f>
        <v>10257.708753773099</v>
      </c>
      <c r="Q32" s="303">
        <f t="shared" si="12"/>
        <v>12601.27967904823</v>
      </c>
    </row>
    <row r="34" spans="1:15" ht="12.5">
      <c r="I34" s="8"/>
      <c r="J34" s="8"/>
      <c r="K34" s="8"/>
      <c r="L34" s="8"/>
      <c r="M34" s="8"/>
      <c r="N34" s="8"/>
      <c r="O34" s="8"/>
    </row>
    <row r="35" spans="1:15" ht="13">
      <c r="C35" s="1"/>
      <c r="D35" s="1"/>
      <c r="J35" s="3"/>
      <c r="K35" s="4"/>
      <c r="L35" s="4"/>
    </row>
    <row r="36" spans="1:15" ht="13">
      <c r="B36" s="1"/>
    </row>
    <row r="38" spans="1:15" ht="13">
      <c r="E38" s="1"/>
      <c r="F38" s="1"/>
      <c r="G38" s="1"/>
      <c r="H38" s="1"/>
      <c r="I38" s="1"/>
      <c r="J38" s="1"/>
    </row>
    <row r="40" spans="1:15" ht="12.5">
      <c r="A40" s="31" t="s">
        <v>166</v>
      </c>
      <c r="B40" s="31" t="s">
        <v>167</v>
      </c>
      <c r="C40" s="31"/>
      <c r="D40" s="31"/>
    </row>
  </sheetData>
  <pageMargins left="0.74803149606299202" right="0.74803149606299202" top="0.98425196850393704" bottom="0.98425196850393704" header="0.511811023622047" footer="0.511811023622047"/>
  <pageSetup paperSize="9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79A2-DFFA-49A8-8BCA-0BDA42A85170}">
  <dimension ref="A1:Z83"/>
  <sheetViews>
    <sheetView showGridLines="0" topLeftCell="A23" zoomScale="78" zoomScaleNormal="78" workbookViewId="0">
      <selection activeCell="G78" sqref="G78"/>
    </sheetView>
  </sheetViews>
  <sheetFormatPr defaultRowHeight="12.75" customHeight="1"/>
  <cols>
    <col min="2" max="2" width="40.453125" customWidth="1"/>
    <col min="3" max="3" width="13.81640625" customWidth="1"/>
    <col min="4" max="4" width="11.54296875" customWidth="1"/>
    <col min="6" max="6" width="42.7265625" customWidth="1"/>
    <col min="7" max="7" width="13.54296875" customWidth="1"/>
    <col min="11" max="11" width="9.1796875" bestFit="1" customWidth="1"/>
    <col min="12" max="12" width="9.54296875" bestFit="1" customWidth="1"/>
    <col min="13" max="13" width="9.26953125" customWidth="1"/>
    <col min="14" max="14" width="8.7265625" bestFit="1" customWidth="1"/>
    <col min="15" max="15" width="9.7265625" bestFit="1" customWidth="1"/>
    <col min="16" max="16" width="10.26953125" bestFit="1" customWidth="1"/>
    <col min="19" max="19" width="8" customWidth="1"/>
  </cols>
  <sheetData>
    <row r="1" spans="1:20" s="118" customFormat="1" ht="17.5">
      <c r="A1" s="116"/>
      <c r="B1" s="121" t="s">
        <v>14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7"/>
      <c r="S1" s="683"/>
      <c r="T1" s="683"/>
    </row>
    <row r="2" spans="1:20" s="118" customFormat="1" ht="17.5">
      <c r="A2" s="116"/>
      <c r="B2" s="142" t="s">
        <v>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7"/>
      <c r="S2" s="683"/>
      <c r="T2" s="683"/>
    </row>
    <row r="3" spans="1:20" s="118" customFormat="1" ht="17.5">
      <c r="A3" s="116"/>
      <c r="B3" s="120" t="s">
        <v>15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7"/>
      <c r="S3" s="683"/>
      <c r="T3" s="683"/>
    </row>
    <row r="4" spans="1:20" s="118" customFormat="1" ht="18">
      <c r="A4" s="116"/>
      <c r="B4" s="120" t="s">
        <v>223</v>
      </c>
      <c r="C4" s="119"/>
      <c r="D4" s="119"/>
      <c r="E4" s="119"/>
      <c r="F4" s="119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7"/>
      <c r="S4" s="683"/>
      <c r="T4" s="683"/>
    </row>
    <row r="5" spans="1:20" ht="13">
      <c r="A5" s="678"/>
      <c r="B5" s="678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6"/>
      <c r="T5" s="45"/>
    </row>
    <row r="6" spans="1:20" s="118" customFormat="1" ht="13">
      <c r="A6" s="147"/>
      <c r="B6" s="149" t="s">
        <v>224</v>
      </c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681"/>
      <c r="T6" s="681"/>
    </row>
    <row r="7" spans="1:20" ht="12.5">
      <c r="A7" s="677"/>
      <c r="B7" s="677"/>
      <c r="C7" s="47"/>
      <c r="D7" s="47"/>
      <c r="E7" s="45"/>
      <c r="F7" s="47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677"/>
      <c r="T7" s="677"/>
    </row>
    <row r="8" spans="1:20" ht="13">
      <c r="A8" s="677"/>
      <c r="B8" s="677"/>
      <c r="C8" s="45"/>
      <c r="D8" s="45"/>
      <c r="E8" s="253"/>
      <c r="F8" s="254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677"/>
      <c r="T8" s="677"/>
    </row>
    <row r="9" spans="1:20" ht="12.5">
      <c r="A9" s="677"/>
      <c r="B9" s="677"/>
      <c r="C9" s="45"/>
      <c r="D9" s="45"/>
      <c r="E9" s="251"/>
      <c r="F9" s="252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677"/>
      <c r="T9" s="677"/>
    </row>
    <row r="10" spans="1:20" ht="12.5">
      <c r="A10" s="45"/>
      <c r="B10" s="4"/>
      <c r="C10" s="4"/>
      <c r="D10" s="45"/>
      <c r="E10" s="251"/>
      <c r="F10" s="252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677"/>
      <c r="T10" s="677"/>
    </row>
    <row r="11" spans="1:20" ht="13">
      <c r="A11" s="45"/>
      <c r="B11" s="238" t="s">
        <v>225</v>
      </c>
      <c r="C11" s="239"/>
      <c r="D11" s="45"/>
      <c r="E11" s="253"/>
      <c r="F11" s="25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677"/>
      <c r="T11" s="677"/>
    </row>
    <row r="12" spans="1:20" ht="12.5">
      <c r="A12" s="45"/>
      <c r="B12" s="232" t="s">
        <v>226</v>
      </c>
      <c r="C12" s="241">
        <v>0.10390000000000001</v>
      </c>
      <c r="D12" s="45"/>
      <c r="E12" s="33"/>
      <c r="F12" s="256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677"/>
      <c r="T12" s="677"/>
    </row>
    <row r="13" spans="1:20" ht="12.5">
      <c r="A13" s="45"/>
      <c r="B13" s="233" t="s">
        <v>227</v>
      </c>
      <c r="C13" s="241">
        <v>4.0599999999999997E-2</v>
      </c>
      <c r="D13" s="45"/>
      <c r="E13" s="33"/>
      <c r="F13" s="256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677"/>
      <c r="T13" s="677"/>
    </row>
    <row r="14" spans="1:20" ht="13">
      <c r="A14" s="45"/>
      <c r="B14" s="233" t="s">
        <v>228</v>
      </c>
      <c r="C14" s="242">
        <f>C12-C13</f>
        <v>6.3300000000000009E-2</v>
      </c>
      <c r="D14" s="45"/>
      <c r="E14" s="253"/>
      <c r="F14" s="25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677"/>
      <c r="T14" s="677"/>
    </row>
    <row r="15" spans="1:20" ht="12.5">
      <c r="A15" s="45"/>
      <c r="B15" s="234" t="s">
        <v>229</v>
      </c>
      <c r="C15" s="240">
        <v>1.3720000000000001</v>
      </c>
      <c r="D15" s="310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677"/>
      <c r="T15" s="677"/>
    </row>
    <row r="16" spans="1:20" ht="13">
      <c r="A16" s="45"/>
      <c r="B16" s="235" t="s">
        <v>230</v>
      </c>
      <c r="C16" s="243">
        <f>C13+(C14*C15)</f>
        <v>0.12744760000000002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677"/>
      <c r="T16" s="677"/>
    </row>
    <row r="17" spans="1:20" ht="12.5">
      <c r="A17" s="45"/>
      <c r="B17" s="232" t="s">
        <v>231</v>
      </c>
      <c r="C17" s="247">
        <v>4.0599999999999997E-2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677"/>
      <c r="T17" s="677"/>
    </row>
    <row r="18" spans="1:20" ht="12.5">
      <c r="A18" s="45"/>
      <c r="B18" s="236" t="s">
        <v>232</v>
      </c>
      <c r="C18" s="241">
        <v>0.21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677"/>
      <c r="T18" s="677"/>
    </row>
    <row r="19" spans="1:20" ht="13">
      <c r="A19" s="45"/>
      <c r="B19" s="237" t="s">
        <v>233</v>
      </c>
      <c r="C19" s="248">
        <f>C17*(1-C18)</f>
        <v>3.2073999999999998E-2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677"/>
      <c r="T19" s="677"/>
    </row>
    <row r="20" spans="1:20" ht="12.5">
      <c r="A20" s="45"/>
      <c r="B20" s="203" t="s">
        <v>234</v>
      </c>
      <c r="C20" s="271">
        <v>0.98499999999999999</v>
      </c>
      <c r="D20" s="47"/>
      <c r="E20" s="45"/>
      <c r="F20" s="47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677"/>
      <c r="T20" s="677"/>
    </row>
    <row r="21" spans="1:20" ht="12.5">
      <c r="A21" s="45"/>
      <c r="B21" s="203" t="s">
        <v>235</v>
      </c>
      <c r="C21" s="271">
        <v>1.4999999999999999E-2</v>
      </c>
      <c r="D21" s="47"/>
      <c r="E21" s="45"/>
      <c r="F21" s="47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677"/>
      <c r="T21" s="677"/>
    </row>
    <row r="22" spans="1:20" ht="13">
      <c r="A22" s="45"/>
      <c r="B22" s="245" t="s">
        <v>225</v>
      </c>
      <c r="C22" s="272">
        <f>(C20*C16)+(C21*C19)</f>
        <v>0.12601699600000002</v>
      </c>
      <c r="D22" s="47"/>
      <c r="E22" s="45"/>
      <c r="F22" s="47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3" spans="1:20" ht="13">
      <c r="A23" s="45"/>
      <c r="B23" s="249"/>
      <c r="C23" s="250"/>
      <c r="D23" s="47"/>
      <c r="E23" s="45"/>
      <c r="F23" s="47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</row>
    <row r="24" spans="1:20" s="118" customFormat="1" ht="13">
      <c r="A24" s="147"/>
      <c r="B24" s="149" t="s">
        <v>236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681"/>
      <c r="T24" s="681"/>
    </row>
    <row r="25" spans="1:20" ht="12.5">
      <c r="A25" s="677"/>
      <c r="B25" s="677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677"/>
      <c r="T25" s="677"/>
    </row>
    <row r="26" spans="1:20" s="147" customFormat="1" ht="13">
      <c r="A26" s="148"/>
      <c r="B26" s="149" t="s">
        <v>17</v>
      </c>
      <c r="C26" s="149"/>
      <c r="D26" s="149"/>
      <c r="E26" s="149"/>
      <c r="F26" s="149"/>
      <c r="G26" s="149"/>
      <c r="H26" s="149"/>
      <c r="I26" s="149"/>
      <c r="J26" s="149" t="s">
        <v>24</v>
      </c>
      <c r="K26" s="149" t="s">
        <v>25</v>
      </c>
      <c r="L26" s="149" t="s">
        <v>26</v>
      </c>
      <c r="M26" s="149" t="s">
        <v>27</v>
      </c>
      <c r="N26" s="149" t="s">
        <v>28</v>
      </c>
      <c r="O26" s="149" t="s">
        <v>29</v>
      </c>
      <c r="P26" s="149" t="s">
        <v>30</v>
      </c>
      <c r="Q26" s="149" t="s">
        <v>31</v>
      </c>
      <c r="R26" s="149" t="s">
        <v>32</v>
      </c>
      <c r="S26" s="682"/>
      <c r="T26" s="682"/>
    </row>
    <row r="27" spans="1:20" ht="12.5">
      <c r="A27" s="677"/>
      <c r="B27" s="677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677"/>
      <c r="T27" s="677"/>
    </row>
    <row r="28" spans="1:20" ht="13">
      <c r="A28" s="45"/>
      <c r="B28" s="45" t="s">
        <v>237</v>
      </c>
      <c r="C28" s="45"/>
      <c r="D28" s="13"/>
      <c r="E28" s="13"/>
      <c r="F28" s="13"/>
      <c r="G28" s="13"/>
      <c r="H28" s="13"/>
      <c r="I28" s="13"/>
      <c r="J28" s="314">
        <f>IS!J12</f>
        <v>2282.91</v>
      </c>
      <c r="K28" s="314">
        <f>IS!K12</f>
        <v>3087.2547840000007</v>
      </c>
      <c r="L28" s="314">
        <f>IS!L12</f>
        <v>4375.2188095094061</v>
      </c>
      <c r="M28" s="314">
        <f>IS!M12</f>
        <v>5467.3452961061284</v>
      </c>
      <c r="N28" s="314">
        <f>IS!N12</f>
        <v>7983.7832215878261</v>
      </c>
      <c r="O28" s="314">
        <f>IS!O12</f>
        <v>10001.146341117113</v>
      </c>
      <c r="P28" s="314">
        <f>IS!P12</f>
        <v>11646.600508920368</v>
      </c>
      <c r="Q28" s="314">
        <f>IS!Q12</f>
        <v>12534.381659169856</v>
      </c>
      <c r="R28" s="314">
        <f>IS!R12</f>
        <v>14805.742665062389</v>
      </c>
      <c r="S28" s="677"/>
      <c r="T28" s="677"/>
    </row>
    <row r="29" spans="1:20" ht="12.5">
      <c r="A29" s="45"/>
      <c r="B29" s="49" t="s">
        <v>238</v>
      </c>
      <c r="C29" s="49"/>
      <c r="D29" s="49"/>
      <c r="E29" s="49"/>
      <c r="F29" s="49"/>
      <c r="G29" s="49"/>
      <c r="H29" s="49"/>
      <c r="I29" s="49"/>
      <c r="J29" s="315">
        <f t="shared" ref="J29:R29" si="0">1-$C$18</f>
        <v>0.79</v>
      </c>
      <c r="K29" s="315">
        <f t="shared" si="0"/>
        <v>0.79</v>
      </c>
      <c r="L29" s="315">
        <f t="shared" si="0"/>
        <v>0.79</v>
      </c>
      <c r="M29" s="315">
        <f t="shared" si="0"/>
        <v>0.79</v>
      </c>
      <c r="N29" s="315">
        <f t="shared" si="0"/>
        <v>0.79</v>
      </c>
      <c r="O29" s="315">
        <f t="shared" si="0"/>
        <v>0.79</v>
      </c>
      <c r="P29" s="315">
        <f t="shared" si="0"/>
        <v>0.79</v>
      </c>
      <c r="Q29" s="315">
        <f t="shared" si="0"/>
        <v>0.79</v>
      </c>
      <c r="R29" s="315">
        <f t="shared" si="0"/>
        <v>0.79</v>
      </c>
      <c r="S29" s="677"/>
      <c r="T29" s="677"/>
    </row>
    <row r="30" spans="1:20" ht="13">
      <c r="A30" s="45"/>
      <c r="B30" s="44" t="s">
        <v>239</v>
      </c>
      <c r="C30" s="50"/>
      <c r="D30" s="50"/>
      <c r="E30" s="50"/>
      <c r="F30" s="50"/>
      <c r="G30" s="50"/>
      <c r="H30" s="50"/>
      <c r="I30" s="50"/>
      <c r="J30" s="316">
        <f t="shared" ref="J30:R30" si="1">J28*J29</f>
        <v>1803.4989</v>
      </c>
      <c r="K30" s="316">
        <f t="shared" si="1"/>
        <v>2438.9312793600006</v>
      </c>
      <c r="L30" s="316">
        <f t="shared" si="1"/>
        <v>3456.4228595124309</v>
      </c>
      <c r="M30" s="316">
        <f t="shared" si="1"/>
        <v>4319.2027839238417</v>
      </c>
      <c r="N30" s="316">
        <f t="shared" si="1"/>
        <v>6307.1887450543827</v>
      </c>
      <c r="O30" s="316">
        <f t="shared" si="1"/>
        <v>7900.90560948252</v>
      </c>
      <c r="P30" s="316">
        <f t="shared" si="1"/>
        <v>9200.8144020470918</v>
      </c>
      <c r="Q30" s="316">
        <f t="shared" si="1"/>
        <v>9902.1615107441867</v>
      </c>
      <c r="R30" s="316">
        <f t="shared" si="1"/>
        <v>11696.536705399289</v>
      </c>
      <c r="S30" s="677"/>
      <c r="T30" s="677"/>
    </row>
    <row r="31" spans="1:20" ht="12.5">
      <c r="A31" s="45"/>
      <c r="B31" s="45" t="s">
        <v>240</v>
      </c>
      <c r="C31" s="45"/>
      <c r="D31" s="45"/>
      <c r="E31" s="45"/>
      <c r="F31" s="45"/>
      <c r="G31" s="45"/>
      <c r="H31" s="45"/>
      <c r="I31" s="40"/>
      <c r="J31" s="292">
        <f>Assumptions!J113</f>
        <v>831.57528553274767</v>
      </c>
      <c r="K31" s="292">
        <f>Assumptions!K113</f>
        <v>1054.4695817176641</v>
      </c>
      <c r="L31" s="292">
        <f>Assumptions!L113</f>
        <v>1218.8793881848333</v>
      </c>
      <c r="M31" s="292">
        <f>Assumptions!M113</f>
        <v>1442.9631492944316</v>
      </c>
      <c r="N31" s="292">
        <f>Assumptions!N113</f>
        <v>1542.0921145359951</v>
      </c>
      <c r="O31" s="292">
        <f>Assumptions!O113</f>
        <v>1576.2972630447523</v>
      </c>
      <c r="P31" s="292">
        <f>Assumptions!P113</f>
        <v>1695.4995708545216</v>
      </c>
      <c r="Q31" s="292">
        <f>Assumptions!Q113</f>
        <v>1759.2545347278788</v>
      </c>
      <c r="R31" s="292">
        <f>Assumptions!R113</f>
        <v>1849.5146610668653</v>
      </c>
      <c r="S31" s="677"/>
      <c r="T31" s="677"/>
    </row>
    <row r="32" spans="1:20" ht="12.5">
      <c r="A32" s="45"/>
      <c r="B32" s="45" t="s">
        <v>241</v>
      </c>
      <c r="C32" s="45"/>
      <c r="D32" s="45"/>
      <c r="E32" s="45"/>
      <c r="F32" s="45"/>
      <c r="G32" s="45"/>
      <c r="H32" s="45"/>
      <c r="I32" s="40"/>
      <c r="J32" s="292">
        <f>Assumptions!J117</f>
        <v>345.80462618529629</v>
      </c>
      <c r="K32" s="292">
        <f>Assumptions!K117</f>
        <v>358.89812005263684</v>
      </c>
      <c r="L32" s="292">
        <f>Assumptions!L117</f>
        <v>396.99074842045559</v>
      </c>
      <c r="M32" s="292">
        <f>Assumptions!M117</f>
        <v>456.80174915643079</v>
      </c>
      <c r="N32" s="292">
        <f>Assumptions!N117</f>
        <v>528.43887846479913</v>
      </c>
      <c r="O32" s="292">
        <f>Assumptions!O117</f>
        <v>608.95413612382276</v>
      </c>
      <c r="P32" s="292">
        <f>Assumptions!P117</f>
        <v>688.19671131681446</v>
      </c>
      <c r="Q32" s="292">
        <f>Assumptions!Q117</f>
        <v>767.21399513853567</v>
      </c>
      <c r="R32" s="292">
        <f>Assumptions!R117</f>
        <v>844.07795422674724</v>
      </c>
      <c r="S32" s="45"/>
      <c r="T32" s="45"/>
    </row>
    <row r="33" spans="1:26" ht="12.5">
      <c r="A33" s="45"/>
      <c r="B33" s="45" t="s">
        <v>242</v>
      </c>
      <c r="C33" s="45"/>
      <c r="D33" s="45"/>
      <c r="E33" s="45"/>
      <c r="F33" s="45"/>
      <c r="G33" s="45"/>
      <c r="H33" s="45"/>
      <c r="I33" s="40"/>
      <c r="J33" s="292">
        <v>665.96</v>
      </c>
      <c r="K33" s="292">
        <v>744.71</v>
      </c>
      <c r="L33" s="292">
        <v>800</v>
      </c>
      <c r="M33" s="292">
        <v>850</v>
      </c>
      <c r="N33" s="292">
        <v>900</v>
      </c>
      <c r="O33" s="292">
        <v>1050</v>
      </c>
      <c r="P33" s="292">
        <v>1100</v>
      </c>
      <c r="Q33" s="292">
        <v>1100</v>
      </c>
      <c r="R33" s="292">
        <v>1100</v>
      </c>
      <c r="S33" s="45"/>
      <c r="T33" s="45"/>
    </row>
    <row r="34" spans="1:26" ht="12.5">
      <c r="A34" s="45"/>
      <c r="B34" s="45" t="s">
        <v>243</v>
      </c>
      <c r="C34" s="45"/>
      <c r="D34" s="45"/>
      <c r="E34" s="45"/>
      <c r="F34" s="45"/>
      <c r="G34" s="45"/>
      <c r="H34" s="45"/>
      <c r="I34" s="40"/>
      <c r="J34" s="292">
        <f>Assumptions!J109</f>
        <v>-151.32351781127181</v>
      </c>
      <c r="K34" s="292">
        <f>Assumptions!K109</f>
        <v>-173.99999674134415</v>
      </c>
      <c r="L34" s="292">
        <f>Assumptions!L109</f>
        <v>-280.8433515052302</v>
      </c>
      <c r="M34" s="292">
        <f>Assumptions!M109</f>
        <v>-300.08039756039125</v>
      </c>
      <c r="N34" s="292">
        <f>Assumptions!N109</f>
        <v>-377.44864414092899</v>
      </c>
      <c r="O34" s="292">
        <f>Assumptions!O109</f>
        <v>1158.3152114280701</v>
      </c>
      <c r="P34" s="292">
        <f>Assumptions!P109</f>
        <v>-111.87091874040198</v>
      </c>
      <c r="Q34" s="292">
        <f>Assumptions!Q109</f>
        <v>-8.0985363351519482</v>
      </c>
      <c r="R34" s="292">
        <f>Assumptions!R109</f>
        <v>260.12793417179091</v>
      </c>
      <c r="S34" s="677"/>
      <c r="T34" s="677"/>
    </row>
    <row r="35" spans="1:26" ht="12.5">
      <c r="A35" s="45"/>
      <c r="B35" s="45" t="s">
        <v>244</v>
      </c>
      <c r="C35" s="45"/>
      <c r="D35" s="45"/>
      <c r="E35" s="45"/>
      <c r="F35" s="45"/>
      <c r="G35" s="45"/>
      <c r="H35" s="45"/>
      <c r="I35" s="40"/>
      <c r="J35" s="292">
        <f>-Assumptions!J134</f>
        <v>-1178.7492398269078</v>
      </c>
      <c r="K35" s="292">
        <f>-Assumptions!K134</f>
        <v>-1543.6273920000001</v>
      </c>
      <c r="L35" s="292">
        <f>-Assumptions!L134</f>
        <v>-1890.8190691199998</v>
      </c>
      <c r="M35" s="292">
        <f>-Assumptions!M134</f>
        <v>-1929.2809108272002</v>
      </c>
      <c r="N35" s="292">
        <f>-Assumptions!N134</f>
        <v>-1894.6713282114238</v>
      </c>
      <c r="O35" s="292">
        <f>-Assumptions!O134</f>
        <v>-2078.0063297628362</v>
      </c>
      <c r="P35" s="292">
        <f>-Assumptions!P134</f>
        <v>-1888.6964310768155</v>
      </c>
      <c r="Q35" s="292">
        <f>-Assumptions!Q134</f>
        <v>-2032.7700690884446</v>
      </c>
      <c r="R35" s="292">
        <f>-Assumptions!R134</f>
        <v>-2187.1722130318144</v>
      </c>
      <c r="S35" s="677"/>
      <c r="T35" s="677"/>
    </row>
    <row r="36" spans="1:26" ht="12.5">
      <c r="A36" s="45"/>
      <c r="B36" s="45" t="s">
        <v>245</v>
      </c>
      <c r="C36" s="45"/>
      <c r="D36" s="45"/>
      <c r="E36" s="45"/>
      <c r="F36" s="45"/>
      <c r="G36" s="45"/>
      <c r="H36" s="45"/>
      <c r="I36" s="40"/>
      <c r="J36" s="292">
        <f>-Assumptions!J136</f>
        <v>-388.25</v>
      </c>
      <c r="K36" s="292">
        <f>-Assumptions!K136</f>
        <v>-482.38356000000005</v>
      </c>
      <c r="L36" s="292">
        <f>-Assumptions!L136</f>
        <v>-590.88095909999993</v>
      </c>
      <c r="M36" s="292">
        <f>-Assumptions!M136</f>
        <v>-689.02889672399999</v>
      </c>
      <c r="N36" s="292">
        <f>-Assumptions!N136</f>
        <v>-789.44638675475994</v>
      </c>
      <c r="O36" s="292">
        <f>-Assumptions!O136</f>
        <v>-865.83597073451517</v>
      </c>
      <c r="P36" s="292">
        <f>-Assumptions!P136</f>
        <v>-944.34821553840777</v>
      </c>
      <c r="Q36" s="292">
        <f>-Assumptions!Q136</f>
        <v>-1016.3850345442223</v>
      </c>
      <c r="R36" s="292">
        <f>-Assumptions!R136</f>
        <v>-1093.5861065159072</v>
      </c>
      <c r="S36" s="45"/>
      <c r="T36" s="45"/>
    </row>
    <row r="37" spans="1:26" ht="13">
      <c r="A37" s="45"/>
      <c r="B37" s="259" t="s">
        <v>246</v>
      </c>
      <c r="C37" s="260"/>
      <c r="D37" s="260"/>
      <c r="E37" s="260"/>
      <c r="F37" s="260"/>
      <c r="G37" s="260"/>
      <c r="H37" s="260"/>
      <c r="I37" s="260"/>
      <c r="J37" s="317">
        <f t="shared" ref="J37:R37" si="2">J30+J31+J32+J34-J35-J36+J33</f>
        <v>5062.5145337336808</v>
      </c>
      <c r="K37" s="317">
        <f t="shared" si="2"/>
        <v>6449.0199363889578</v>
      </c>
      <c r="L37" s="317">
        <f t="shared" si="2"/>
        <v>8073.1496728324892</v>
      </c>
      <c r="M37" s="317">
        <f t="shared" si="2"/>
        <v>9387.1970923655135</v>
      </c>
      <c r="N37" s="317">
        <f t="shared" si="2"/>
        <v>11584.388808880432</v>
      </c>
      <c r="O37" s="317">
        <f t="shared" si="2"/>
        <v>15238.314520576518</v>
      </c>
      <c r="P37" s="317">
        <f t="shared" si="2"/>
        <v>15405.684412093249</v>
      </c>
      <c r="Q37" s="317">
        <f t="shared" si="2"/>
        <v>16569.686607908116</v>
      </c>
      <c r="R37" s="317">
        <f t="shared" si="2"/>
        <v>19031.015574412413</v>
      </c>
      <c r="S37" s="677"/>
      <c r="T37" s="677"/>
    </row>
    <row r="38" spans="1:26" ht="12.5">
      <c r="A38" s="45"/>
      <c r="B38" s="45" t="s">
        <v>247</v>
      </c>
      <c r="C38" s="45"/>
      <c r="D38" s="45"/>
      <c r="E38" s="45"/>
      <c r="F38" s="45"/>
      <c r="G38" s="45"/>
      <c r="H38" s="45"/>
      <c r="I38" s="45"/>
      <c r="J38" s="313">
        <v>1</v>
      </c>
      <c r="K38" s="313">
        <v>2</v>
      </c>
      <c r="L38" s="313">
        <v>3</v>
      </c>
      <c r="M38" s="313">
        <v>4</v>
      </c>
      <c r="N38" s="313">
        <v>5</v>
      </c>
      <c r="O38" s="313">
        <v>6</v>
      </c>
      <c r="P38" s="313">
        <v>7</v>
      </c>
      <c r="Q38" s="313">
        <v>8</v>
      </c>
      <c r="R38" s="313">
        <v>9</v>
      </c>
      <c r="S38" s="677"/>
      <c r="T38" s="677"/>
    </row>
    <row r="39" spans="1:26" ht="12.5">
      <c r="A39" s="45"/>
      <c r="B39" s="45" t="s">
        <v>248</v>
      </c>
      <c r="C39" s="45"/>
      <c r="D39" s="45"/>
      <c r="E39" s="45"/>
      <c r="F39" s="45"/>
      <c r="G39" s="45"/>
      <c r="H39" s="45"/>
      <c r="I39" s="45"/>
      <c r="J39" s="318">
        <f t="shared" ref="J39:R39" si="3">1/(1+$C$22)^J38</f>
        <v>0.88808606224625763</v>
      </c>
      <c r="K39" s="318">
        <f t="shared" si="3"/>
        <v>0.78869685395606381</v>
      </c>
      <c r="L39" s="318">
        <f t="shared" si="3"/>
        <v>0.70043068333585246</v>
      </c>
      <c r="M39" s="318">
        <f t="shared" si="3"/>
        <v>0.62204272744019273</v>
      </c>
      <c r="N39" s="318">
        <f t="shared" si="3"/>
        <v>0.55242747636128287</v>
      </c>
      <c r="O39" s="318">
        <f t="shared" si="3"/>
        <v>0.49060314215832929</v>
      </c>
      <c r="P39" s="318">
        <f t="shared" si="3"/>
        <v>0.4356978126450316</v>
      </c>
      <c r="Q39" s="318">
        <f t="shared" si="3"/>
        <v>0.38693715476123386</v>
      </c>
      <c r="R39" s="318">
        <f t="shared" si="3"/>
        <v>0.343633494108675</v>
      </c>
      <c r="S39" s="677"/>
      <c r="T39" s="677"/>
    </row>
    <row r="40" spans="1:26" ht="13">
      <c r="A40" s="44"/>
      <c r="B40" s="44" t="s">
        <v>249</v>
      </c>
      <c r="C40" s="45"/>
      <c r="D40" s="45"/>
      <c r="E40" s="45"/>
      <c r="F40" s="45"/>
      <c r="G40" s="45"/>
      <c r="H40" s="45"/>
      <c r="I40" s="45"/>
      <c r="J40" s="313">
        <f t="shared" ref="J40:R40" si="4">J37*J39</f>
        <v>4495.9485973279934</v>
      </c>
      <c r="K40" s="313">
        <f t="shared" si="4"/>
        <v>5086.3217349299057</v>
      </c>
      <c r="L40" s="313">
        <f t="shared" si="4"/>
        <v>5654.6817420146745</v>
      </c>
      <c r="M40" s="313">
        <f t="shared" si="4"/>
        <v>5839.2376823536906</v>
      </c>
      <c r="N40" s="313">
        <f t="shared" si="4"/>
        <v>6399.5346748777047</v>
      </c>
      <c r="O40" s="313">
        <f t="shared" si="4"/>
        <v>7475.964984991735</v>
      </c>
      <c r="P40" s="313">
        <f t="shared" si="4"/>
        <v>6712.223000648688</v>
      </c>
      <c r="Q40" s="313">
        <f t="shared" si="4"/>
        <v>6411.4273913492862</v>
      </c>
      <c r="R40" s="313">
        <f t="shared" si="4"/>
        <v>6539.69437827195</v>
      </c>
      <c r="S40" s="45"/>
      <c r="T40" s="45"/>
    </row>
    <row r="41" spans="1:26" ht="13">
      <c r="A41" s="44"/>
      <c r="B41" s="44" t="s">
        <v>250</v>
      </c>
      <c r="C41" s="45"/>
      <c r="D41" s="45"/>
      <c r="E41" s="45"/>
      <c r="F41" s="45"/>
      <c r="G41" s="45"/>
      <c r="H41" s="45"/>
      <c r="I41" s="45"/>
      <c r="J41" s="313">
        <f>J28+J31+J32</f>
        <v>3460.2899117180441</v>
      </c>
      <c r="K41" s="313">
        <f t="shared" ref="K41:R41" si="5">K28+K31+K32</f>
        <v>4500.6224857703019</v>
      </c>
      <c r="L41" s="313">
        <f t="shared" si="5"/>
        <v>5991.0889461146953</v>
      </c>
      <c r="M41" s="313">
        <f t="shared" si="5"/>
        <v>7367.1101945569908</v>
      </c>
      <c r="N41" s="313">
        <f t="shared" si="5"/>
        <v>10054.314214588621</v>
      </c>
      <c r="O41" s="313">
        <f t="shared" si="5"/>
        <v>12186.397740285689</v>
      </c>
      <c r="P41" s="313">
        <f t="shared" si="5"/>
        <v>14030.296791091703</v>
      </c>
      <c r="Q41" s="313">
        <f t="shared" si="5"/>
        <v>15060.850189036271</v>
      </c>
      <c r="R41" s="313">
        <f t="shared" si="5"/>
        <v>17499.335280356005</v>
      </c>
      <c r="S41" s="677"/>
      <c r="T41" s="677"/>
    </row>
    <row r="42" spans="1:26" s="147" customFormat="1" ht="13">
      <c r="A42" s="45"/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/>
      <c r="T42"/>
      <c r="U42"/>
      <c r="V42"/>
      <c r="W42"/>
      <c r="X42"/>
      <c r="Y42"/>
      <c r="Z42"/>
    </row>
    <row r="43" spans="1:26" s="147" customFormat="1" ht="13">
      <c r="A43" s="45"/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/>
      <c r="T43"/>
      <c r="U43"/>
      <c r="V43"/>
      <c r="W43"/>
      <c r="X43"/>
      <c r="Y43"/>
      <c r="Z43"/>
    </row>
    <row r="44" spans="1:26" ht="13">
      <c r="A44" s="147"/>
      <c r="B44" s="149" t="s">
        <v>251</v>
      </c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681"/>
      <c r="T44" s="681"/>
      <c r="U44" s="147"/>
      <c r="V44" s="147"/>
      <c r="W44" s="147"/>
      <c r="X44" s="147"/>
      <c r="Y44" s="147"/>
      <c r="Z44" s="147"/>
    </row>
    <row r="45" spans="1:26" ht="13">
      <c r="A45" s="44"/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677"/>
      <c r="T45" s="677"/>
    </row>
    <row r="46" spans="1:26" ht="13">
      <c r="A46" s="44"/>
      <c r="B46" s="679" t="s">
        <v>252</v>
      </c>
      <c r="C46" s="680"/>
      <c r="E46" s="45"/>
      <c r="F46" s="679" t="s">
        <v>253</v>
      </c>
      <c r="G46" s="680"/>
      <c r="H46" s="45"/>
      <c r="J46" s="684"/>
      <c r="K46" s="684"/>
      <c r="O46" s="45"/>
      <c r="P46" s="45"/>
      <c r="Q46" s="45"/>
      <c r="R46" s="45"/>
      <c r="S46" s="677"/>
      <c r="T46" s="677"/>
    </row>
    <row r="47" spans="1:26" ht="13">
      <c r="A47" s="44"/>
      <c r="B47" s="51" t="s">
        <v>254</v>
      </c>
      <c r="C47" s="353">
        <v>0.03</v>
      </c>
      <c r="E47" s="45"/>
      <c r="F47" s="108" t="s">
        <v>255</v>
      </c>
      <c r="G47" s="357">
        <v>20</v>
      </c>
      <c r="H47" s="45"/>
      <c r="J47" s="45"/>
      <c r="K47" s="631"/>
      <c r="O47" s="45"/>
      <c r="P47" s="45"/>
      <c r="Q47" s="45"/>
      <c r="R47" s="45"/>
      <c r="S47" s="677"/>
      <c r="T47" s="677"/>
    </row>
    <row r="48" spans="1:26" ht="14.5">
      <c r="A48" s="44"/>
      <c r="B48" s="51" t="s">
        <v>256</v>
      </c>
      <c r="C48" s="354">
        <f>(R37*(1+C47)/(C22-C47))/(1+C22)^R38</f>
        <v>70153.050920486072</v>
      </c>
      <c r="E48" s="45"/>
      <c r="F48" s="48" t="s">
        <v>257</v>
      </c>
      <c r="G48" s="358">
        <f>R41</f>
        <v>17499.335280356005</v>
      </c>
      <c r="H48" s="45"/>
      <c r="J48" s="45"/>
      <c r="K48" s="92"/>
      <c r="O48" s="45"/>
      <c r="P48" s="45"/>
      <c r="Q48" s="45"/>
      <c r="R48" s="45"/>
      <c r="S48" s="677"/>
      <c r="T48" s="677"/>
    </row>
    <row r="49" spans="1:20" ht="14.5">
      <c r="A49" s="44"/>
      <c r="B49" s="52" t="s">
        <v>258</v>
      </c>
      <c r="C49" s="355">
        <f>C48/C52</f>
        <v>0.56226759319245723</v>
      </c>
      <c r="E49" s="45"/>
      <c r="F49" s="48" t="s">
        <v>259</v>
      </c>
      <c r="G49" s="358">
        <f>G47*G48</f>
        <v>349986.70560712006</v>
      </c>
      <c r="H49" s="45"/>
      <c r="J49" s="45"/>
      <c r="K49" s="92"/>
      <c r="O49" s="45"/>
      <c r="P49" s="45"/>
      <c r="Q49" s="45"/>
      <c r="R49" s="45"/>
      <c r="S49" s="677"/>
      <c r="T49" s="677"/>
    </row>
    <row r="50" spans="1:20" ht="14.5">
      <c r="A50" s="44"/>
      <c r="B50" s="53" t="s">
        <v>260</v>
      </c>
      <c r="C50" s="352">
        <f>SUM(J40:R40)</f>
        <v>54615.034186765624</v>
      </c>
      <c r="E50" s="45"/>
      <c r="F50" s="48" t="s">
        <v>261</v>
      </c>
      <c r="G50" s="358">
        <f>R39*G49</f>
        <v>120267.15453935886</v>
      </c>
      <c r="H50" s="45"/>
      <c r="J50" s="45"/>
      <c r="K50" s="92"/>
      <c r="O50" s="45"/>
      <c r="P50" s="45"/>
      <c r="Q50" s="45"/>
      <c r="R50" s="45"/>
      <c r="S50" s="677"/>
      <c r="T50" s="677"/>
    </row>
    <row r="51" spans="1:20" ht="14.5">
      <c r="A51" s="44"/>
      <c r="B51" s="54" t="s">
        <v>258</v>
      </c>
      <c r="C51" s="356">
        <f>C50/C52</f>
        <v>0.43773240680754283</v>
      </c>
      <c r="E51" s="45"/>
      <c r="F51" s="48" t="s">
        <v>262</v>
      </c>
      <c r="G51" s="359">
        <f>G50/G54</f>
        <v>0.68770385032008097</v>
      </c>
      <c r="H51" s="45"/>
      <c r="J51" s="45"/>
      <c r="K51" s="632"/>
      <c r="O51" s="45"/>
      <c r="P51" s="45"/>
      <c r="Q51" s="45"/>
      <c r="R51" s="45"/>
      <c r="S51" s="677"/>
      <c r="T51" s="677"/>
    </row>
    <row r="52" spans="1:20" ht="14.5">
      <c r="A52" s="44"/>
      <c r="B52" s="55" t="s">
        <v>263</v>
      </c>
      <c r="C52" s="56">
        <f>C48+C50</f>
        <v>124768.0851072517</v>
      </c>
      <c r="E52" s="45"/>
      <c r="F52" s="48" t="s">
        <v>264</v>
      </c>
      <c r="G52" s="358">
        <f>SUM(J40:R40)</f>
        <v>54615.034186765624</v>
      </c>
      <c r="H52" s="45"/>
      <c r="J52" s="45"/>
      <c r="K52" s="92"/>
      <c r="O52" s="45"/>
      <c r="P52" s="45"/>
      <c r="Q52" s="45"/>
      <c r="R52" s="45"/>
      <c r="S52" s="677"/>
      <c r="T52" s="677"/>
    </row>
    <row r="53" spans="1:20" ht="14.5">
      <c r="A53" s="44"/>
      <c r="B53" s="51" t="s">
        <v>265</v>
      </c>
      <c r="C53" s="350">
        <f>BS!H35</f>
        <v>1491</v>
      </c>
      <c r="E53" s="45"/>
      <c r="F53" s="48" t="s">
        <v>266</v>
      </c>
      <c r="G53" s="359">
        <f>G52/G54</f>
        <v>0.31229614967991909</v>
      </c>
      <c r="H53" s="45"/>
      <c r="J53" s="45"/>
      <c r="K53" s="632"/>
      <c r="O53" s="45"/>
      <c r="P53" s="45"/>
      <c r="Q53" s="45"/>
      <c r="R53" s="45"/>
      <c r="S53" s="677"/>
      <c r="T53" s="677"/>
    </row>
    <row r="54" spans="1:20" ht="14.5">
      <c r="A54" s="44"/>
      <c r="B54" s="51" t="s">
        <v>267</v>
      </c>
      <c r="C54" s="350">
        <f>BS!H11+BS!H13+BS!H20</f>
        <v>11597</v>
      </c>
      <c r="E54" s="45"/>
      <c r="F54" s="109" t="s">
        <v>268</v>
      </c>
      <c r="G54" s="360">
        <f>G50+G52</f>
        <v>174882.18872612447</v>
      </c>
      <c r="H54" s="45"/>
      <c r="J54" s="44"/>
      <c r="K54" s="92"/>
      <c r="O54" s="45"/>
      <c r="P54" s="45"/>
      <c r="Q54" s="45"/>
      <c r="R54" s="45"/>
      <c r="S54" s="677"/>
      <c r="T54" s="677"/>
    </row>
    <row r="55" spans="1:20" ht="14.5">
      <c r="A55" s="44"/>
      <c r="B55" s="57" t="s">
        <v>269</v>
      </c>
      <c r="C55" s="56">
        <f>C52-C53+C54</f>
        <v>134874.08510725171</v>
      </c>
      <c r="E55" s="45"/>
      <c r="F55" s="48" t="s">
        <v>270</v>
      </c>
      <c r="G55" s="358">
        <f>C54</f>
        <v>11597</v>
      </c>
      <c r="H55" s="45"/>
      <c r="J55" s="45"/>
      <c r="K55" s="92"/>
      <c r="O55" s="45"/>
      <c r="P55" s="45"/>
      <c r="Q55" s="45"/>
      <c r="R55" s="45"/>
      <c r="S55" s="677"/>
      <c r="T55" s="677"/>
    </row>
    <row r="56" spans="1:20" ht="14.5">
      <c r="A56" s="44"/>
      <c r="B56" s="58" t="s">
        <v>271</v>
      </c>
      <c r="C56" s="351">
        <v>1046</v>
      </c>
      <c r="E56" s="45"/>
      <c r="F56" s="48" t="s">
        <v>272</v>
      </c>
      <c r="G56" s="358">
        <v>1491</v>
      </c>
      <c r="H56" s="45"/>
      <c r="J56" s="45"/>
      <c r="K56" s="92"/>
      <c r="O56" s="45"/>
      <c r="P56" s="45"/>
      <c r="Q56" s="45"/>
      <c r="R56" s="45"/>
      <c r="S56" s="677"/>
      <c r="T56" s="677"/>
    </row>
    <row r="57" spans="1:20" ht="14.5">
      <c r="A57" s="44"/>
      <c r="B57" s="55" t="s">
        <v>273</v>
      </c>
      <c r="C57" s="59">
        <f>C55/C56</f>
        <v>128.94271998781235</v>
      </c>
      <c r="E57" s="45"/>
      <c r="F57" s="109" t="s">
        <v>274</v>
      </c>
      <c r="G57" s="360">
        <f>G54+G55-G56</f>
        <v>184988.18872612447</v>
      </c>
      <c r="H57" s="45"/>
      <c r="J57" s="44"/>
      <c r="K57" s="92"/>
      <c r="O57" s="45"/>
      <c r="P57" s="45"/>
      <c r="Q57" s="45"/>
      <c r="R57" s="45"/>
      <c r="S57" s="677"/>
      <c r="T57" s="677"/>
    </row>
    <row r="58" spans="1:20" ht="14.5">
      <c r="A58" s="44"/>
      <c r="B58" s="60" t="s">
        <v>275</v>
      </c>
      <c r="C58" s="352">
        <v>121</v>
      </c>
      <c r="E58" s="45"/>
      <c r="F58" s="48" t="s">
        <v>276</v>
      </c>
      <c r="G58" s="361">
        <f>1046</f>
        <v>1046</v>
      </c>
      <c r="H58" s="45"/>
      <c r="J58" s="45"/>
      <c r="K58" s="633"/>
      <c r="O58" s="45"/>
      <c r="P58" s="45"/>
      <c r="Q58" s="45"/>
      <c r="R58" s="45"/>
      <c r="S58" s="677"/>
      <c r="T58" s="677"/>
    </row>
    <row r="59" spans="1:20" ht="14.5">
      <c r="A59" s="45"/>
      <c r="B59" s="257" t="s">
        <v>277</v>
      </c>
      <c r="C59" s="258">
        <f>(C57-C58)/100</f>
        <v>7.9427199878123536E-2</v>
      </c>
      <c r="E59" s="45"/>
      <c r="F59" s="110" t="s">
        <v>278</v>
      </c>
      <c r="G59" s="362">
        <f>G57/G58</f>
        <v>176.85295289304443</v>
      </c>
      <c r="H59" s="45"/>
      <c r="J59" s="44"/>
      <c r="K59" s="92"/>
      <c r="O59" s="45"/>
      <c r="P59" s="45"/>
      <c r="Q59" s="45"/>
      <c r="R59" s="45"/>
      <c r="S59" s="677"/>
      <c r="T59" s="677"/>
    </row>
    <row r="60" spans="1:20" ht="14.5">
      <c r="A60" s="45"/>
      <c r="E60" s="45"/>
      <c r="F60" s="48" t="s">
        <v>275</v>
      </c>
      <c r="G60" s="358">
        <v>121</v>
      </c>
      <c r="H60" s="45"/>
      <c r="J60" s="45"/>
      <c r="K60" s="92"/>
      <c r="O60" s="45"/>
      <c r="P60" s="45"/>
      <c r="Q60" s="45"/>
      <c r="R60" s="45"/>
      <c r="S60" s="677"/>
      <c r="T60" s="677"/>
    </row>
    <row r="61" spans="1:20" ht="14.5">
      <c r="A61" s="45"/>
      <c r="E61" s="45"/>
      <c r="F61" s="319" t="s">
        <v>279</v>
      </c>
      <c r="G61" s="363">
        <f>(G59-G60)/G60</f>
        <v>0.46159465200863165</v>
      </c>
      <c r="H61" s="45"/>
      <c r="J61" s="45"/>
      <c r="K61" s="634"/>
      <c r="O61" s="45"/>
      <c r="P61" s="45"/>
      <c r="Q61" s="45"/>
      <c r="R61" s="45"/>
      <c r="S61" s="677"/>
      <c r="T61" s="677"/>
    </row>
    <row r="62" spans="1:20" ht="12.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677"/>
      <c r="T62" s="677"/>
    </row>
    <row r="63" spans="1:20" ht="12.5">
      <c r="A63" s="45"/>
      <c r="B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677"/>
      <c r="T63" s="677"/>
    </row>
    <row r="64" spans="1:20" ht="12.5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</row>
    <row r="65" spans="2:14" ht="12.5">
      <c r="F65" s="45"/>
      <c r="G65" s="45"/>
      <c r="I65" s="45"/>
      <c r="J65" s="45"/>
      <c r="K65" s="45"/>
      <c r="L65" s="45"/>
      <c r="M65" s="45"/>
      <c r="N65" s="45"/>
    </row>
    <row r="66" spans="2:14" ht="13">
      <c r="B66" s="684"/>
      <c r="C66" s="684"/>
      <c r="D66" s="45"/>
      <c r="E66" s="45"/>
      <c r="F66" s="679" t="s">
        <v>280</v>
      </c>
      <c r="G66" s="680"/>
    </row>
    <row r="67" spans="2:14" ht="12.5">
      <c r="C67" s="635"/>
      <c r="D67" s="45"/>
      <c r="E67" s="45"/>
      <c r="F67" s="108" t="s">
        <v>281</v>
      </c>
      <c r="G67" s="357">
        <v>10</v>
      </c>
      <c r="H67" s="45"/>
    </row>
    <row r="68" spans="2:14" ht="14.5">
      <c r="C68" s="311"/>
      <c r="D68" s="45"/>
      <c r="E68" s="45"/>
      <c r="F68" s="48" t="s">
        <v>282</v>
      </c>
      <c r="G68" s="358">
        <f>IS!R4</f>
        <v>43743.444260636286</v>
      </c>
    </row>
    <row r="69" spans="2:14" ht="14.5">
      <c r="C69" s="636"/>
      <c r="D69" s="45"/>
      <c r="E69" s="45"/>
      <c r="F69" s="48" t="s">
        <v>259</v>
      </c>
      <c r="G69" s="358">
        <f>G67*G68</f>
        <v>437434.44260636286</v>
      </c>
    </row>
    <row r="70" spans="2:14" ht="14.5">
      <c r="C70" s="311"/>
      <c r="D70" s="45"/>
      <c r="E70" s="45"/>
      <c r="F70" s="48" t="s">
        <v>261</v>
      </c>
      <c r="G70" s="358">
        <f>G69/(1+C22)^10</f>
        <v>133494.54447870975</v>
      </c>
    </row>
    <row r="71" spans="2:14" ht="14.5">
      <c r="C71" s="637"/>
      <c r="D71" s="45"/>
      <c r="E71" s="45"/>
      <c r="F71" s="48" t="s">
        <v>262</v>
      </c>
      <c r="G71" s="359">
        <f>G70/G74</f>
        <v>0.7096637259291817</v>
      </c>
    </row>
    <row r="72" spans="2:14" ht="14.5">
      <c r="C72" s="311"/>
      <c r="D72" s="45"/>
      <c r="E72" s="45"/>
      <c r="F72" s="48" t="s">
        <v>264</v>
      </c>
      <c r="G72" s="358">
        <f>SUM(J40:R40)</f>
        <v>54615.034186765624</v>
      </c>
    </row>
    <row r="73" spans="2:14" ht="14.5">
      <c r="C73" s="637"/>
      <c r="D73" s="45"/>
      <c r="E73" s="45"/>
      <c r="F73" s="48" t="s">
        <v>266</v>
      </c>
      <c r="G73" s="359">
        <f>G72/G74</f>
        <v>0.29033627407081836</v>
      </c>
      <c r="K73" s="141"/>
    </row>
    <row r="74" spans="2:14" ht="14.5">
      <c r="C74" s="311"/>
      <c r="D74" s="45"/>
      <c r="E74" s="45"/>
      <c r="F74" s="109" t="s">
        <v>268</v>
      </c>
      <c r="G74" s="360">
        <f>G70+G72</f>
        <v>188109.57866547536</v>
      </c>
    </row>
    <row r="75" spans="2:14" ht="14.5">
      <c r="C75" s="311"/>
      <c r="D75" s="45"/>
      <c r="E75" s="45"/>
      <c r="F75" s="48" t="s">
        <v>270</v>
      </c>
      <c r="G75" s="358">
        <f>C54</f>
        <v>11597</v>
      </c>
    </row>
    <row r="76" spans="2:14" ht="14.5">
      <c r="D76" s="45"/>
      <c r="E76" s="45"/>
      <c r="F76" s="48" t="s">
        <v>272</v>
      </c>
      <c r="G76" s="358">
        <v>1491</v>
      </c>
    </row>
    <row r="77" spans="2:14" ht="14.5">
      <c r="C77" s="311"/>
      <c r="D77" s="45"/>
      <c r="E77" s="45"/>
      <c r="F77" s="109" t="s">
        <v>274</v>
      </c>
      <c r="G77" s="360">
        <f>G74+G75-G76</f>
        <v>198215.57866547536</v>
      </c>
    </row>
    <row r="78" spans="2:14" ht="14.5">
      <c r="D78" s="45"/>
      <c r="E78" s="45"/>
      <c r="F78" s="48" t="s">
        <v>276</v>
      </c>
      <c r="G78" s="361">
        <f>1046</f>
        <v>1046</v>
      </c>
    </row>
    <row r="79" spans="2:14" ht="14.5">
      <c r="C79" s="638"/>
      <c r="D79" s="45"/>
      <c r="E79" s="45"/>
      <c r="F79" s="110" t="s">
        <v>278</v>
      </c>
      <c r="G79" s="362">
        <f>G77/G78</f>
        <v>189.49864117158256</v>
      </c>
    </row>
    <row r="80" spans="2:14" ht="14.5">
      <c r="C80" s="638"/>
      <c r="D80" s="45"/>
      <c r="E80" s="45"/>
      <c r="F80" s="48" t="s">
        <v>275</v>
      </c>
      <c r="G80" s="358">
        <v>121</v>
      </c>
    </row>
    <row r="81" spans="2:7" ht="14.5">
      <c r="B81" s="45"/>
      <c r="C81" s="634"/>
      <c r="D81" s="45"/>
      <c r="E81" s="45"/>
      <c r="F81" s="319" t="s">
        <v>279</v>
      </c>
      <c r="G81" s="363">
        <f>(G79-G80)/G80</f>
        <v>0.56610447249241791</v>
      </c>
    </row>
    <row r="82" spans="2:7" ht="12.5">
      <c r="C82" s="312"/>
    </row>
    <row r="83" spans="2:7" ht="12.5"/>
  </sheetData>
  <mergeCells count="65">
    <mergeCell ref="B66:C66"/>
    <mergeCell ref="S53:T53"/>
    <mergeCell ref="S54:T54"/>
    <mergeCell ref="B46:C46"/>
    <mergeCell ref="S55:T55"/>
    <mergeCell ref="S62:T62"/>
    <mergeCell ref="S56:T56"/>
    <mergeCell ref="S46:T46"/>
    <mergeCell ref="S47:T47"/>
    <mergeCell ref="S48:T48"/>
    <mergeCell ref="S50:T50"/>
    <mergeCell ref="S52:T52"/>
    <mergeCell ref="F46:G46"/>
    <mergeCell ref="S49:T49"/>
    <mergeCell ref="S51:T51"/>
    <mergeCell ref="J46:K46"/>
    <mergeCell ref="S63:T63"/>
    <mergeCell ref="S57:T57"/>
    <mergeCell ref="S58:T58"/>
    <mergeCell ref="S59:T59"/>
    <mergeCell ref="S60:T60"/>
    <mergeCell ref="S61:T61"/>
    <mergeCell ref="S45:T45"/>
    <mergeCell ref="S21:T21"/>
    <mergeCell ref="S24:T24"/>
    <mergeCell ref="S28:T28"/>
    <mergeCell ref="S29:T29"/>
    <mergeCell ref="S30:T30"/>
    <mergeCell ref="S27:T27"/>
    <mergeCell ref="S44:T44"/>
    <mergeCell ref="S31:T31"/>
    <mergeCell ref="S39:T39"/>
    <mergeCell ref="S41:T41"/>
    <mergeCell ref="S34:T34"/>
    <mergeCell ref="S35:T35"/>
    <mergeCell ref="S37:T37"/>
    <mergeCell ref="S38:T38"/>
    <mergeCell ref="S1:T1"/>
    <mergeCell ref="S2:T2"/>
    <mergeCell ref="S3:T3"/>
    <mergeCell ref="S4:T4"/>
    <mergeCell ref="S15:T15"/>
    <mergeCell ref="S8:T8"/>
    <mergeCell ref="S9:T9"/>
    <mergeCell ref="S10:T10"/>
    <mergeCell ref="S11:T11"/>
    <mergeCell ref="S12:T12"/>
    <mergeCell ref="S13:T13"/>
    <mergeCell ref="S14:T14"/>
    <mergeCell ref="F66:G66"/>
    <mergeCell ref="A7:B7"/>
    <mergeCell ref="S7:T7"/>
    <mergeCell ref="A5:B5"/>
    <mergeCell ref="S6:T6"/>
    <mergeCell ref="A8:B8"/>
    <mergeCell ref="A9:B9"/>
    <mergeCell ref="S16:T16"/>
    <mergeCell ref="S17:T17"/>
    <mergeCell ref="S18:T18"/>
    <mergeCell ref="S19:T19"/>
    <mergeCell ref="S20:T20"/>
    <mergeCell ref="A25:B25"/>
    <mergeCell ref="S25:T25"/>
    <mergeCell ref="S26:T26"/>
    <mergeCell ref="A27:B2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E3D4-1BE6-4538-A052-F215504AC553}">
  <dimension ref="A3:AG123"/>
  <sheetViews>
    <sheetView showGridLines="0" workbookViewId="0">
      <selection activeCell="AH9" sqref="AH9"/>
    </sheetView>
  </sheetViews>
  <sheetFormatPr defaultRowHeight="12.5"/>
  <cols>
    <col min="1" max="1" width="24.7265625" customWidth="1"/>
    <col min="2" max="2" width="13.1796875" customWidth="1"/>
    <col min="3" max="3" width="11.453125" bestFit="1" customWidth="1"/>
    <col min="4" max="6" width="11.453125" customWidth="1"/>
    <col min="7" max="7" width="13.7265625" customWidth="1"/>
    <col min="8" max="8" width="11.453125" bestFit="1" customWidth="1"/>
    <col min="9" max="9" width="12.1796875" customWidth="1"/>
    <col min="10" max="10" width="14" customWidth="1"/>
    <col min="11" max="11" width="12.453125" bestFit="1" customWidth="1"/>
    <col min="12" max="12" width="23" customWidth="1"/>
    <col min="13" max="14" width="16.26953125" customWidth="1"/>
    <col min="15" max="15" width="30.26953125" customWidth="1"/>
    <col min="16" max="17" width="16.26953125" customWidth="1"/>
    <col min="18" max="18" width="15.81640625" customWidth="1"/>
    <col min="19" max="19" width="15.54296875" customWidth="1"/>
    <col min="20" max="20" width="16.453125" customWidth="1"/>
    <col min="21" max="21" width="16.54296875" customWidth="1"/>
    <col min="22" max="22" width="11.1796875" customWidth="1"/>
    <col min="23" max="23" width="15.54296875" customWidth="1"/>
    <col min="24" max="24" width="12.1796875" customWidth="1"/>
    <col min="25" max="25" width="13.1796875" customWidth="1"/>
    <col min="26" max="26" width="14" customWidth="1"/>
    <col min="27" max="27" width="16.26953125" customWidth="1"/>
    <col min="28" max="28" width="12.7265625" customWidth="1"/>
    <col min="29" max="29" width="13.81640625" customWidth="1"/>
    <col min="30" max="30" width="13.26953125" customWidth="1"/>
    <col min="31" max="31" width="15" customWidth="1"/>
    <col min="32" max="32" width="8.81640625" bestFit="1" customWidth="1"/>
    <col min="33" max="33" width="12.81640625" customWidth="1"/>
    <col min="34" max="34" width="14.26953125" customWidth="1"/>
    <col min="35" max="35" width="15.453125" customWidth="1"/>
    <col min="40" max="40" width="18" customWidth="1"/>
  </cols>
  <sheetData>
    <row r="3" spans="1:33">
      <c r="V3" s="126"/>
      <c r="Y3" s="126"/>
      <c r="AB3" s="126"/>
      <c r="AE3" s="126"/>
    </row>
    <row r="4" spans="1:33" ht="13">
      <c r="O4" s="659" t="s">
        <v>283</v>
      </c>
      <c r="P4" s="660" t="s">
        <v>284</v>
      </c>
      <c r="Q4" s="660" t="s">
        <v>285</v>
      </c>
      <c r="R4" s="660" t="s">
        <v>286</v>
      </c>
      <c r="S4" s="660" t="s">
        <v>287</v>
      </c>
      <c r="T4" s="660" t="s">
        <v>288</v>
      </c>
      <c r="U4" s="660" t="s">
        <v>289</v>
      </c>
      <c r="V4" s="661" t="s">
        <v>290</v>
      </c>
      <c r="W4" s="660" t="s">
        <v>291</v>
      </c>
      <c r="X4" s="660" t="s">
        <v>292</v>
      </c>
      <c r="Y4" s="661" t="s">
        <v>293</v>
      </c>
      <c r="Z4" s="660" t="s">
        <v>294</v>
      </c>
      <c r="AA4" s="660" t="s">
        <v>295</v>
      </c>
      <c r="AB4" s="661" t="s">
        <v>296</v>
      </c>
      <c r="AC4" s="660" t="s">
        <v>155</v>
      </c>
      <c r="AD4" s="660" t="s">
        <v>297</v>
      </c>
      <c r="AE4" s="661" t="s">
        <v>298</v>
      </c>
      <c r="AF4" s="660" t="s">
        <v>299</v>
      </c>
      <c r="AG4" s="660" t="s">
        <v>300</v>
      </c>
    </row>
    <row r="5" spans="1:33" ht="13">
      <c r="O5" s="655"/>
      <c r="P5" s="656"/>
      <c r="Q5" s="656"/>
      <c r="R5" s="656"/>
      <c r="S5" s="656"/>
      <c r="T5" s="656"/>
      <c r="U5" s="656"/>
      <c r="V5" s="657"/>
      <c r="W5" s="656"/>
      <c r="X5" s="656"/>
      <c r="Y5" s="657"/>
      <c r="Z5" s="656"/>
      <c r="AA5" s="658"/>
      <c r="AB5" s="657"/>
      <c r="AC5" s="656"/>
      <c r="AD5" s="656"/>
      <c r="AE5" s="657"/>
      <c r="AF5" s="656"/>
      <c r="AG5" s="656"/>
    </row>
    <row r="6" spans="1:33" ht="15.5">
      <c r="A6" s="270" t="s">
        <v>301</v>
      </c>
      <c r="B6" s="644" t="s">
        <v>290</v>
      </c>
      <c r="C6" s="645" t="s">
        <v>291</v>
      </c>
      <c r="D6" s="645" t="s">
        <v>302</v>
      </c>
      <c r="E6" s="645" t="s">
        <v>303</v>
      </c>
      <c r="F6" s="645" t="s">
        <v>287</v>
      </c>
      <c r="G6" s="645" t="s">
        <v>292</v>
      </c>
      <c r="H6" s="645" t="s">
        <v>155</v>
      </c>
      <c r="I6" s="645" t="s">
        <v>304</v>
      </c>
      <c r="J6" s="645" t="s">
        <v>299</v>
      </c>
      <c r="K6" s="645" t="s">
        <v>286</v>
      </c>
      <c r="O6" s="662" t="s">
        <v>0</v>
      </c>
      <c r="P6" s="663" t="s">
        <v>305</v>
      </c>
      <c r="Q6" s="663">
        <v>160432</v>
      </c>
      <c r="R6" s="664">
        <v>114</v>
      </c>
      <c r="S6" s="664">
        <v>4.1900000000000004</v>
      </c>
      <c r="T6" s="663"/>
      <c r="U6" s="665">
        <f>IS!J30</f>
        <v>2032.3824399999999</v>
      </c>
      <c r="V6" s="666">
        <v>13242.2</v>
      </c>
      <c r="W6" s="663">
        <f>V6+V6*(Z6/100)</f>
        <v>15493.374000000002</v>
      </c>
      <c r="X6" s="664">
        <v>106801.3</v>
      </c>
      <c r="Y6" s="667">
        <f>X6/V6</f>
        <v>8.0652233012641403</v>
      </c>
      <c r="Z6" s="668">
        <v>17</v>
      </c>
      <c r="AA6" s="669">
        <f>Y6/Z6</f>
        <v>0.47442490007436122</v>
      </c>
      <c r="AB6" s="667">
        <v>110744</v>
      </c>
      <c r="AC6" s="663">
        <f>IS!I15</f>
        <v>2562</v>
      </c>
      <c r="AD6" s="663">
        <f>AB6/AC6</f>
        <v>43.225604996096799</v>
      </c>
      <c r="AE6" s="667">
        <v>118396</v>
      </c>
      <c r="AF6" s="663">
        <v>4576</v>
      </c>
      <c r="AG6" s="669">
        <f>AE6/AF6</f>
        <v>25.873251748251747</v>
      </c>
    </row>
    <row r="7" spans="1:33" ht="13">
      <c r="A7" t="s">
        <v>306</v>
      </c>
      <c r="B7" s="640">
        <v>281724</v>
      </c>
      <c r="C7" s="646"/>
      <c r="D7" s="646"/>
      <c r="E7" s="646">
        <v>13.64</v>
      </c>
      <c r="F7" s="646">
        <v>16.899999999999999</v>
      </c>
      <c r="G7" s="646">
        <v>3033250.4</v>
      </c>
      <c r="H7" s="646">
        <v>191230</v>
      </c>
      <c r="I7" s="646">
        <v>2999434</v>
      </c>
      <c r="J7" s="646">
        <v>71611</v>
      </c>
      <c r="K7" s="646">
        <v>403</v>
      </c>
      <c r="O7" s="670" t="s">
        <v>307</v>
      </c>
      <c r="P7" s="671" t="s">
        <v>308</v>
      </c>
      <c r="Q7" s="671">
        <v>328715</v>
      </c>
      <c r="R7" s="672">
        <v>192.95</v>
      </c>
      <c r="S7" s="672">
        <v>13.14</v>
      </c>
      <c r="T7" s="671"/>
      <c r="U7" s="671"/>
      <c r="V7" s="673">
        <v>41525</v>
      </c>
      <c r="W7" s="671">
        <f t="shared" ref="W7:W9" si="0">V7+V7*(Z7/100)</f>
        <v>46134.275000000001</v>
      </c>
      <c r="X7" s="672">
        <v>188405.2</v>
      </c>
      <c r="Y7" s="674">
        <f>X7/V7</f>
        <v>4.5371511137868756</v>
      </c>
      <c r="Z7" s="672">
        <v>11.1</v>
      </c>
      <c r="AA7" s="675">
        <f>Y7/Z7</f>
        <v>0.40875235259341225</v>
      </c>
      <c r="AB7" s="674">
        <v>189100</v>
      </c>
      <c r="AC7" s="671">
        <v>13306</v>
      </c>
      <c r="AD7" s="671">
        <f t="shared" ref="AD7" si="1">AB7/AC7</f>
        <v>14.211633849391252</v>
      </c>
      <c r="AE7" s="674">
        <v>180954.2</v>
      </c>
      <c r="AF7" s="671">
        <v>14402</v>
      </c>
      <c r="AG7" s="675">
        <f t="shared" ref="AG7:AG8" si="2">AE7/AF7</f>
        <v>12.564518816830997</v>
      </c>
    </row>
    <row r="8" spans="1:33" ht="13">
      <c r="A8" t="s">
        <v>309</v>
      </c>
      <c r="B8" s="640">
        <v>120810</v>
      </c>
      <c r="C8" s="647">
        <v>138434</v>
      </c>
      <c r="D8" s="650">
        <f>(C8-B8)/B8</f>
        <v>0.14588196341362469</v>
      </c>
      <c r="E8" s="650">
        <f>E7*B9</f>
        <v>5.8491587511181162</v>
      </c>
      <c r="F8" s="650">
        <f>F7*B9</f>
        <v>7.2471248455935591</v>
      </c>
      <c r="G8" s="646">
        <f>G7*$B$9</f>
        <v>1300730.4341270179</v>
      </c>
      <c r="H8" s="646">
        <f>H7*$B$9</f>
        <v>82004.004983600971</v>
      </c>
      <c r="I8" s="646">
        <f>I7*B9</f>
        <v>1286229.151722963</v>
      </c>
      <c r="J8" s="646">
        <f>J7*$B$9</f>
        <v>30708.512267325466</v>
      </c>
      <c r="K8" s="646">
        <f>K7*$B$9</f>
        <v>172.81605401030797</v>
      </c>
      <c r="O8" s="670" t="s">
        <v>310</v>
      </c>
      <c r="P8" s="671" t="s">
        <v>311</v>
      </c>
      <c r="Q8" s="671"/>
      <c r="R8" s="676">
        <f>K12</f>
        <v>136.74511933665573</v>
      </c>
      <c r="S8" s="676">
        <f>F12</f>
        <v>5.7344727463758849</v>
      </c>
      <c r="T8" s="671"/>
      <c r="U8" s="671"/>
      <c r="V8" s="673">
        <f>B12</f>
        <v>95594</v>
      </c>
      <c r="W8" s="671">
        <f t="shared" si="0"/>
        <v>109731</v>
      </c>
      <c r="X8" s="672">
        <f>G12</f>
        <v>1029236.1983274409</v>
      </c>
      <c r="Y8" s="674">
        <f>X8/V8</f>
        <v>10.766744757280174</v>
      </c>
      <c r="Z8" s="672">
        <f>D12*100</f>
        <v>14.788585057639599</v>
      </c>
      <c r="AA8" s="675">
        <f>Y8/Z8</f>
        <v>0.72804427978173658</v>
      </c>
      <c r="AB8" s="674">
        <f>G12</f>
        <v>1029236.1983274409</v>
      </c>
      <c r="AC8" s="671">
        <f>H12</f>
        <v>64887.764691684053</v>
      </c>
      <c r="AD8" s="671">
        <f>AB8/AC8</f>
        <v>15.861791559901688</v>
      </c>
      <c r="AE8" s="674">
        <f>I12</f>
        <v>1017761.6880208999</v>
      </c>
      <c r="AF8" s="671">
        <f>J12</f>
        <v>24298.895138504347</v>
      </c>
      <c r="AG8" s="675">
        <f t="shared" si="2"/>
        <v>41.885101450894425</v>
      </c>
    </row>
    <row r="9" spans="1:33" ht="13">
      <c r="A9" t="s">
        <v>312</v>
      </c>
      <c r="B9" s="641">
        <f>B8/B7</f>
        <v>0.42882395536056567</v>
      </c>
      <c r="C9" s="648"/>
      <c r="D9" s="648"/>
      <c r="E9" s="653"/>
      <c r="F9" s="653"/>
      <c r="G9" s="648"/>
      <c r="H9" s="648"/>
      <c r="I9" s="648"/>
      <c r="J9" s="648"/>
      <c r="K9" s="653"/>
      <c r="O9" s="670" t="s">
        <v>313</v>
      </c>
      <c r="P9" s="671" t="s">
        <v>314</v>
      </c>
      <c r="Q9" s="671">
        <v>53408</v>
      </c>
      <c r="R9" s="672">
        <v>73.8</v>
      </c>
      <c r="S9" s="672">
        <v>4.76</v>
      </c>
      <c r="T9" s="671"/>
      <c r="U9" s="671"/>
      <c r="V9" s="673">
        <v>5215</v>
      </c>
      <c r="W9" s="671">
        <f t="shared" si="0"/>
        <v>6367.5150000000003</v>
      </c>
      <c r="X9" s="672">
        <v>19182.400000000001</v>
      </c>
      <c r="Y9" s="674">
        <f>X9/V9</f>
        <v>3.6783125599232984</v>
      </c>
      <c r="Z9" s="672">
        <v>22.1</v>
      </c>
      <c r="AA9" s="675">
        <f>Y9/Z9</f>
        <v>0.16643948234947051</v>
      </c>
      <c r="AB9" s="674">
        <v>20394</v>
      </c>
      <c r="AC9" s="671">
        <v>-68</v>
      </c>
      <c r="AD9" s="671"/>
      <c r="AE9" s="674">
        <f>Q9</f>
        <v>53408</v>
      </c>
      <c r="AF9" s="671">
        <v>1415</v>
      </c>
      <c r="AG9" s="675">
        <f>AE9/AF9</f>
        <v>37.74416961130742</v>
      </c>
    </row>
    <row r="10" spans="1:33" ht="13">
      <c r="A10" t="s">
        <v>315</v>
      </c>
      <c r="B10" s="641">
        <f>B14/B8</f>
        <v>0.72648787352040389</v>
      </c>
      <c r="C10" s="648"/>
      <c r="D10" s="651"/>
      <c r="E10" s="650">
        <f>E8*B10</f>
        <v>4.2493429029830621</v>
      </c>
      <c r="F10" s="650">
        <f>F8*B10</f>
        <v>5.2649483182121504</v>
      </c>
      <c r="G10" s="646">
        <f>G8*$B$10</f>
        <v>944964.88711220899</v>
      </c>
      <c r="H10" s="646">
        <f>H8*$B$10</f>
        <v>59574.915200692871</v>
      </c>
      <c r="I10" s="646">
        <f>I8*$B$10</f>
        <v>934429.88129516831</v>
      </c>
      <c r="J10" s="646">
        <f>J8*$B$10</f>
        <v>22309.361776064514</v>
      </c>
      <c r="K10" s="646">
        <f>K8*$B$10</f>
        <v>125.5487675881359</v>
      </c>
      <c r="V10" s="126"/>
      <c r="Y10" s="126"/>
      <c r="AA10" s="1"/>
      <c r="AB10" s="126"/>
      <c r="AE10" s="126"/>
    </row>
    <row r="11" spans="1:33" ht="13">
      <c r="A11" t="s">
        <v>316</v>
      </c>
      <c r="B11" s="641">
        <f>B15/B8</f>
        <v>6.4787683138813015E-2</v>
      </c>
      <c r="C11" s="648"/>
      <c r="D11" s="648"/>
      <c r="E11" s="646">
        <f>E8*B11</f>
        <v>0.37895344379605578</v>
      </c>
      <c r="F11" s="646">
        <f>F8*B11</f>
        <v>0.46952442816373469</v>
      </c>
      <c r="G11" s="646">
        <f>G8*$B$11</f>
        <v>84271.311215231923</v>
      </c>
      <c r="H11" s="646">
        <f>H8*$B$11</f>
        <v>5312.8494909911833</v>
      </c>
      <c r="I11" s="646">
        <f>I8*$B$11</f>
        <v>83331.806725731571</v>
      </c>
      <c r="J11" s="646">
        <f>J8*$B$11</f>
        <v>1989.5333624398347</v>
      </c>
      <c r="K11" s="646">
        <f>K8*$B$11</f>
        <v>11.196351748519829</v>
      </c>
      <c r="R11" s="127"/>
      <c r="S11" s="127"/>
      <c r="V11" s="128"/>
      <c r="X11" s="127"/>
      <c r="Y11" s="126"/>
      <c r="Z11" s="127"/>
      <c r="AA11" s="1"/>
      <c r="AB11" s="126"/>
      <c r="AE11" s="126"/>
    </row>
    <row r="12" spans="1:33" ht="13">
      <c r="A12" s="1" t="s">
        <v>317</v>
      </c>
      <c r="B12" s="642">
        <f>B14+B15</f>
        <v>95594</v>
      </c>
      <c r="C12" s="649">
        <f>C14+C15</f>
        <v>109731</v>
      </c>
      <c r="D12" s="652">
        <f>B16*D14+B17*D15</f>
        <v>0.147885850576396</v>
      </c>
      <c r="E12" s="654">
        <f t="shared" ref="E12:K12" si="3">E10+E11</f>
        <v>4.6282963467791181</v>
      </c>
      <c r="F12" s="654">
        <f t="shared" si="3"/>
        <v>5.7344727463758849</v>
      </c>
      <c r="G12" s="649">
        <f t="shared" si="3"/>
        <v>1029236.1983274409</v>
      </c>
      <c r="H12" s="649">
        <f t="shared" si="3"/>
        <v>64887.764691684053</v>
      </c>
      <c r="I12" s="649">
        <f t="shared" si="3"/>
        <v>1017761.6880208999</v>
      </c>
      <c r="J12" s="649">
        <f t="shared" si="3"/>
        <v>24298.895138504347</v>
      </c>
      <c r="K12" s="649">
        <f t="shared" si="3"/>
        <v>136.74511933665573</v>
      </c>
      <c r="R12" s="127"/>
      <c r="S12" s="127"/>
      <c r="V12" s="128"/>
      <c r="X12" s="127"/>
      <c r="Y12" s="126"/>
      <c r="Z12" s="127"/>
      <c r="AA12" s="1"/>
      <c r="AB12" s="126"/>
      <c r="AE12" s="126"/>
    </row>
    <row r="13" spans="1:33">
      <c r="B13" s="262"/>
      <c r="C13" s="648"/>
      <c r="D13" s="648"/>
      <c r="E13" s="648"/>
      <c r="F13" s="648"/>
      <c r="G13" s="648"/>
      <c r="H13" s="648"/>
      <c r="I13" s="648"/>
      <c r="J13" s="648"/>
      <c r="K13" s="648"/>
      <c r="V13" s="128"/>
      <c r="X13" s="127"/>
      <c r="Y13" s="126"/>
      <c r="AB13" s="126"/>
      <c r="AE13" s="126"/>
    </row>
    <row r="14" spans="1:33" ht="15.5">
      <c r="A14" t="s">
        <v>318</v>
      </c>
      <c r="B14" s="643">
        <v>87767</v>
      </c>
      <c r="C14" s="648">
        <v>100815</v>
      </c>
      <c r="D14" s="651">
        <f>(C14-B14)/B14</f>
        <v>0.14866635523602265</v>
      </c>
      <c r="E14" s="651"/>
      <c r="F14" s="651"/>
      <c r="G14" s="648"/>
      <c r="H14" s="648"/>
      <c r="I14" s="648"/>
      <c r="J14" s="648"/>
      <c r="K14" s="648"/>
      <c r="O14" s="143" t="s">
        <v>319</v>
      </c>
      <c r="AA14" s="145">
        <f>AA8</f>
        <v>0.72804427978173658</v>
      </c>
      <c r="AF14" s="150"/>
      <c r="AG14" s="145">
        <f>AG8</f>
        <v>41.885101450894425</v>
      </c>
    </row>
    <row r="15" spans="1:33" ht="15.5">
      <c r="A15" t="s">
        <v>320</v>
      </c>
      <c r="B15" s="643">
        <v>7827</v>
      </c>
      <c r="C15" s="648">
        <v>8916</v>
      </c>
      <c r="D15" s="651">
        <f t="shared" ref="D15" si="4">(C15-B15)/B15</f>
        <v>0.13913376772709851</v>
      </c>
      <c r="E15" s="651"/>
      <c r="F15" s="651"/>
      <c r="G15" s="648"/>
      <c r="H15" s="648"/>
      <c r="I15" s="648"/>
      <c r="J15" s="648"/>
      <c r="K15" s="648"/>
      <c r="O15" s="144" t="s">
        <v>321</v>
      </c>
      <c r="AA15" s="145">
        <f>AVERAGE(AA6:AA9)</f>
        <v>0.44441525369974516</v>
      </c>
      <c r="AF15" s="150"/>
      <c r="AG15" s="145">
        <f>AVERAGE(AG6:AG9)</f>
        <v>29.516760406821149</v>
      </c>
    </row>
    <row r="16" spans="1:33" ht="15.5">
      <c r="A16" t="s">
        <v>322</v>
      </c>
      <c r="B16">
        <f>B14/B12</f>
        <v>0.91812247630604427</v>
      </c>
      <c r="O16" s="144" t="s">
        <v>323</v>
      </c>
      <c r="V16" s="1"/>
      <c r="W16" s="1"/>
      <c r="Y16" s="1"/>
      <c r="Z16" s="1"/>
      <c r="AA16" s="146">
        <f>MEDIAN(AA6:AA9)</f>
        <v>0.44158862633388674</v>
      </c>
      <c r="AB16" s="1"/>
      <c r="AC16" s="1"/>
      <c r="AD16" s="1">
        <f>AVERAGE(AD7:AD8)</f>
        <v>15.036712704646469</v>
      </c>
      <c r="AE16" s="1"/>
      <c r="AF16" s="365"/>
      <c r="AG16" s="146">
        <f>MEDIAN(AG6:AG9)</f>
        <v>31.808710679779583</v>
      </c>
    </row>
    <row r="17" spans="1:33" ht="15.5">
      <c r="A17" t="s">
        <v>324</v>
      </c>
      <c r="B17">
        <f>B15/B12</f>
        <v>8.1877523693955692E-2</v>
      </c>
      <c r="O17" s="143" t="s">
        <v>325</v>
      </c>
      <c r="AA17" s="145">
        <f>AA9</f>
        <v>0.16643948234947051</v>
      </c>
      <c r="AF17" s="150"/>
      <c r="AG17" s="145">
        <f>AG7</f>
        <v>12.564518816830997</v>
      </c>
    </row>
    <row r="20" spans="1:33" ht="18" customHeight="1"/>
    <row r="21" spans="1:33" ht="19.5" customHeight="1">
      <c r="O21" s="411" t="s">
        <v>0</v>
      </c>
      <c r="P21" s="412" t="str">
        <f>AA4</f>
        <v>(EV/Rev)/RG%</v>
      </c>
      <c r="Q21" s="413" t="str">
        <f>AG4</f>
        <v>P/FCF</v>
      </c>
      <c r="S21" s="262"/>
      <c r="T21" s="368"/>
      <c r="U21" s="1"/>
    </row>
    <row r="22" spans="1:33" ht="15">
      <c r="O22" s="398" t="s">
        <v>326</v>
      </c>
      <c r="P22" s="391">
        <f>AA16</f>
        <v>0.44158862633388674</v>
      </c>
      <c r="Q22" s="393">
        <f>AG16</f>
        <v>31.808710679779583</v>
      </c>
      <c r="S22" s="262"/>
      <c r="T22" s="261"/>
    </row>
    <row r="23" spans="1:33" ht="15">
      <c r="O23" s="406" t="s">
        <v>327</v>
      </c>
      <c r="P23" s="399">
        <f>Z6*P22</f>
        <v>7.5070066476760742</v>
      </c>
      <c r="Q23" s="403"/>
      <c r="S23" s="266"/>
      <c r="T23" s="266"/>
    </row>
    <row r="24" spans="1:33" ht="15">
      <c r="N24" s="267"/>
      <c r="O24" s="407" t="s">
        <v>328</v>
      </c>
      <c r="P24" s="400">
        <f>P23*W6</f>
        <v>116308.86161293167</v>
      </c>
      <c r="Q24" s="402"/>
    </row>
    <row r="25" spans="1:33" ht="15">
      <c r="O25" s="406" t="s">
        <v>329</v>
      </c>
      <c r="P25" s="399"/>
      <c r="Q25" s="403"/>
      <c r="S25" s="266"/>
      <c r="T25" s="266"/>
    </row>
    <row r="26" spans="1:33" ht="15">
      <c r="O26" s="406" t="s">
        <v>289</v>
      </c>
      <c r="P26" s="399"/>
      <c r="Q26" s="403"/>
      <c r="S26" s="266"/>
      <c r="T26" s="264"/>
    </row>
    <row r="27" spans="1:33" ht="15.5">
      <c r="L27" s="94"/>
      <c r="O27" s="407" t="s">
        <v>330</v>
      </c>
      <c r="P27" s="399">
        <f>BS!H11+BS!H13+BS!H20-BS!H35</f>
        <v>10106</v>
      </c>
      <c r="Q27" s="403"/>
      <c r="S27" s="266"/>
      <c r="T27" s="266"/>
      <c r="AE27" s="364"/>
    </row>
    <row r="28" spans="1:33" ht="15.5">
      <c r="L28" s="122"/>
      <c r="O28" s="407" t="s">
        <v>331</v>
      </c>
      <c r="P28" s="399">
        <f>P24+P27</f>
        <v>126414.86161293167</v>
      </c>
      <c r="Q28" s="403">
        <f>Q22*AF6</f>
        <v>145556.66007067138</v>
      </c>
      <c r="S28" s="266"/>
      <c r="T28" s="266"/>
      <c r="AE28" s="94"/>
    </row>
    <row r="29" spans="1:33" ht="15.5">
      <c r="L29" s="122"/>
      <c r="O29" s="407" t="s">
        <v>332</v>
      </c>
      <c r="P29" s="401">
        <v>1046</v>
      </c>
      <c r="Q29" s="404">
        <f>P29</f>
        <v>1046</v>
      </c>
      <c r="S29" s="266"/>
      <c r="T29" s="268"/>
      <c r="AE29" s="94"/>
    </row>
    <row r="30" spans="1:33" ht="15.5">
      <c r="K30" s="105"/>
      <c r="L30" s="94"/>
      <c r="M30" s="92"/>
      <c r="N30" s="92"/>
      <c r="O30" s="395" t="s">
        <v>333</v>
      </c>
      <c r="P30" s="408">
        <f>P28/P29</f>
        <v>120.8555082341603</v>
      </c>
      <c r="Q30" s="409">
        <f t="shared" ref="Q30" si="5">Q28/Q29</f>
        <v>139.15550675972406</v>
      </c>
      <c r="S30" s="266"/>
      <c r="T30" s="266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4"/>
    </row>
    <row r="31" spans="1:33" ht="15.5">
      <c r="K31" s="105"/>
      <c r="L31" s="92"/>
      <c r="M31" s="92"/>
      <c r="N31" s="92"/>
      <c r="O31" s="394" t="s">
        <v>334</v>
      </c>
      <c r="P31" s="392">
        <v>0.5</v>
      </c>
      <c r="Q31" s="405">
        <v>0.5</v>
      </c>
      <c r="S31" s="266"/>
      <c r="T31" s="266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4"/>
    </row>
    <row r="32" spans="1:33" ht="15.5">
      <c r="B32" s="70"/>
      <c r="O32" s="395" t="s">
        <v>335</v>
      </c>
      <c r="P32" s="399">
        <f>P31*P30+Q31*Q30+T32*T30</f>
        <v>130.00550749694219</v>
      </c>
      <c r="Q32" s="403"/>
      <c r="S32" s="264"/>
      <c r="T32" s="265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</row>
    <row r="33" spans="2:31" ht="15.5">
      <c r="B33" s="70"/>
      <c r="O33" s="394" t="s">
        <v>336</v>
      </c>
      <c r="P33" s="399">
        <v>121</v>
      </c>
      <c r="Q33" s="403"/>
      <c r="S33" s="266"/>
      <c r="T33" s="266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</row>
    <row r="34" spans="2:31" ht="15.5">
      <c r="B34" s="70"/>
      <c r="O34" s="396" t="s">
        <v>337</v>
      </c>
      <c r="P34" s="410">
        <f>(P32-P33)/P33</f>
        <v>7.4425681792910633E-2</v>
      </c>
      <c r="Q34" s="397"/>
      <c r="S34" s="266"/>
      <c r="T34" s="266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</row>
    <row r="35" spans="2:31" ht="17.25" customHeight="1">
      <c r="B35" s="70"/>
      <c r="L35" s="93"/>
      <c r="M35" s="95"/>
      <c r="N35" s="95"/>
      <c r="S35" s="263"/>
      <c r="T35" s="263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</row>
    <row r="36" spans="2:31" ht="14.5">
      <c r="B36" s="70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</row>
    <row r="37" spans="2:31" ht="14.5">
      <c r="B37" s="70"/>
      <c r="L37" s="92"/>
      <c r="M37" s="92"/>
      <c r="N37" s="92"/>
      <c r="O37" s="92"/>
      <c r="P37" s="290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</row>
    <row r="38" spans="2:31" ht="14.5">
      <c r="B38" s="70"/>
      <c r="L38" s="92"/>
      <c r="M38" s="92"/>
      <c r="N38" s="92"/>
      <c r="O38" s="92"/>
      <c r="P38" s="92"/>
      <c r="Q38" s="290">
        <v>0.33</v>
      </c>
      <c r="S38" s="92">
        <f>Q38*P32</f>
        <v>42.901817473990924</v>
      </c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</row>
    <row r="39" spans="2:31" ht="14.5">
      <c r="B39" s="70"/>
      <c r="L39" s="92"/>
      <c r="M39" s="92"/>
      <c r="N39" s="92"/>
      <c r="O39" s="92"/>
      <c r="P39" s="92"/>
      <c r="Q39" s="290">
        <v>0.33</v>
      </c>
      <c r="S39" s="92">
        <f>Q38*DCF!G59</f>
        <v>58.361474454704663</v>
      </c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</row>
    <row r="40" spans="2:31" ht="14.5">
      <c r="B40" s="70"/>
      <c r="L40" s="92"/>
      <c r="M40" s="92"/>
      <c r="N40" s="92"/>
      <c r="O40" s="92"/>
      <c r="P40" s="290"/>
      <c r="Q40" s="290">
        <v>0.33</v>
      </c>
      <c r="S40" s="92">
        <f>Q40*DCF!G79</f>
        <v>62.53455158662225</v>
      </c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</row>
    <row r="41" spans="2:31" ht="14.5">
      <c r="B41" s="70"/>
      <c r="L41" s="92"/>
      <c r="M41" s="92"/>
      <c r="N41" s="92"/>
      <c r="O41" s="92"/>
      <c r="P41" s="92"/>
      <c r="Q41" s="92"/>
      <c r="S41" s="92">
        <f>SUM(S38:S40)</f>
        <v>163.79784351531785</v>
      </c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</row>
    <row r="42" spans="2:31" ht="14.5">
      <c r="B42" s="70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</row>
    <row r="43" spans="2:31" ht="14.5">
      <c r="B43" s="70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</row>
    <row r="44" spans="2:31" ht="14.5">
      <c r="B44" s="70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</row>
    <row r="45" spans="2:31" ht="14.5">
      <c r="B45" s="70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</row>
    <row r="46" spans="2:31" ht="14.5">
      <c r="B46" s="70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</row>
    <row r="47" spans="2:31" ht="14.5">
      <c r="B47" s="70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</row>
    <row r="48" spans="2:31" ht="14.5">
      <c r="B48" s="70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</row>
    <row r="49" spans="1:31" ht="15.5">
      <c r="L49" s="123"/>
      <c r="M49" s="123"/>
      <c r="N49" s="685"/>
      <c r="O49" s="685"/>
      <c r="P49" s="685"/>
      <c r="Q49" s="685"/>
      <c r="R49" s="685"/>
      <c r="S49" s="685"/>
      <c r="T49" s="685"/>
      <c r="U49" s="685"/>
      <c r="V49" s="685"/>
      <c r="W49" s="123"/>
      <c r="X49" s="123"/>
      <c r="Y49" s="685"/>
      <c r="Z49" s="685"/>
      <c r="AA49" s="685"/>
      <c r="AB49" s="123"/>
      <c r="AC49" s="685"/>
      <c r="AD49" s="685"/>
      <c r="AE49" s="685"/>
    </row>
    <row r="50" spans="1:31" ht="31.5" customHeight="1">
      <c r="L50" s="685"/>
      <c r="M50" s="685"/>
      <c r="N50" s="97"/>
      <c r="O50" s="97"/>
      <c r="P50" s="97"/>
      <c r="Q50" s="97"/>
      <c r="R50" s="687"/>
      <c r="S50" s="687"/>
      <c r="T50" s="687"/>
      <c r="U50" s="97"/>
      <c r="V50" s="687"/>
      <c r="W50" s="686"/>
      <c r="X50" s="98"/>
      <c r="Y50" s="686"/>
      <c r="Z50" s="686"/>
      <c r="AA50" s="686"/>
      <c r="AB50" s="686"/>
      <c r="AC50" s="686"/>
      <c r="AD50" s="686"/>
      <c r="AE50" s="686"/>
    </row>
    <row r="51" spans="1:31" ht="15.5">
      <c r="A51" t="s">
        <v>338</v>
      </c>
      <c r="B51">
        <v>16.899999999999999</v>
      </c>
      <c r="L51" s="685"/>
      <c r="M51" s="685"/>
      <c r="N51" s="97"/>
      <c r="O51" s="97"/>
      <c r="P51" s="97"/>
      <c r="Q51" s="97"/>
      <c r="R51" s="687"/>
      <c r="S51" s="687"/>
      <c r="T51" s="687"/>
      <c r="U51" s="97"/>
      <c r="V51" s="687"/>
      <c r="W51" s="686"/>
      <c r="X51" s="98"/>
      <c r="Y51" s="686"/>
      <c r="Z51" s="686"/>
      <c r="AA51" s="686"/>
      <c r="AB51" s="686"/>
      <c r="AC51" s="686"/>
      <c r="AD51" s="686"/>
      <c r="AE51" s="686"/>
    </row>
    <row r="52" spans="1:31" ht="15.5">
      <c r="A52" t="s">
        <v>339</v>
      </c>
      <c r="B52">
        <v>13.64</v>
      </c>
      <c r="L52" s="96"/>
      <c r="M52" s="96"/>
      <c r="N52" s="97"/>
      <c r="O52" s="97"/>
      <c r="P52" s="97"/>
      <c r="Q52" s="97"/>
      <c r="R52" s="97"/>
      <c r="S52" s="97"/>
      <c r="T52" s="97"/>
      <c r="U52" s="97"/>
      <c r="V52" s="97"/>
      <c r="W52" s="98"/>
      <c r="X52" s="98"/>
      <c r="Y52" s="98"/>
      <c r="Z52" s="98"/>
      <c r="AA52" s="98"/>
      <c r="AB52" s="98"/>
      <c r="AC52" s="98"/>
      <c r="AD52" s="98"/>
      <c r="AE52" s="98"/>
    </row>
    <row r="53" spans="1:31" ht="15.5">
      <c r="A53" t="s">
        <v>340</v>
      </c>
      <c r="B53" s="104">
        <v>0.24</v>
      </c>
      <c r="L53" s="96"/>
      <c r="M53" s="96"/>
      <c r="N53" s="97"/>
      <c r="O53" s="97"/>
      <c r="P53" s="97"/>
      <c r="Q53" s="97"/>
      <c r="R53" s="97"/>
      <c r="S53" s="97"/>
      <c r="T53" s="97"/>
      <c r="U53" s="97"/>
      <c r="V53" s="97"/>
      <c r="W53" s="98"/>
      <c r="X53" s="98"/>
      <c r="Y53" s="98"/>
      <c r="Z53" s="98"/>
      <c r="AA53" s="98"/>
      <c r="AB53" s="98"/>
      <c r="AC53" s="98"/>
      <c r="AD53" s="98"/>
      <c r="AE53" s="98"/>
    </row>
    <row r="54" spans="1:31" ht="15.5">
      <c r="A54" t="s">
        <v>301</v>
      </c>
      <c r="J54" t="s">
        <v>341</v>
      </c>
      <c r="L54" s="100"/>
      <c r="M54" s="101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4"/>
      <c r="AC54" s="102"/>
      <c r="AD54" s="102"/>
      <c r="AE54" s="102"/>
    </row>
    <row r="55" spans="1:31" ht="15.5">
      <c r="J55">
        <f>B56*B9</f>
        <v>1283598.7455807813</v>
      </c>
      <c r="L55" s="100"/>
      <c r="M55" s="101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4"/>
      <c r="AC55" s="102"/>
      <c r="AD55" s="102"/>
      <c r="AE55" s="102"/>
    </row>
    <row r="56" spans="1:31" ht="15.5">
      <c r="A56" t="s">
        <v>342</v>
      </c>
      <c r="B56">
        <v>2993300</v>
      </c>
      <c r="J56" t="e">
        <f>J55*#REF!</f>
        <v>#REF!</v>
      </c>
      <c r="L56" s="100"/>
      <c r="M56" s="101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4"/>
      <c r="AC56" s="102"/>
      <c r="AD56" s="102"/>
      <c r="AE56" s="102"/>
    </row>
    <row r="57" spans="1:31" ht="15.5">
      <c r="C57" t="s">
        <v>343</v>
      </c>
      <c r="J57">
        <f>J55*B32</f>
        <v>0</v>
      </c>
      <c r="L57" s="100"/>
      <c r="M57" s="101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4"/>
      <c r="AC57" s="102"/>
      <c r="AD57" s="102"/>
      <c r="AE57" s="102"/>
    </row>
    <row r="58" spans="1:31" ht="15.5">
      <c r="A58" t="s">
        <v>344</v>
      </c>
      <c r="B58">
        <f>B51*B9</f>
        <v>7.2471248455935591</v>
      </c>
      <c r="C58">
        <f>B52*B9</f>
        <v>5.8491587511181162</v>
      </c>
      <c r="J58" t="e">
        <f>J56+J57</f>
        <v>#REF!</v>
      </c>
      <c r="L58" s="100"/>
      <c r="M58" s="101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4"/>
      <c r="AC58" s="102"/>
      <c r="AD58" s="102"/>
      <c r="AE58" s="102"/>
    </row>
    <row r="59" spans="1:31" ht="15.5">
      <c r="A59" t="s">
        <v>345</v>
      </c>
      <c r="B59" t="e">
        <f>B58*#REF!</f>
        <v>#REF!</v>
      </c>
      <c r="C59" t="e">
        <f>C58*#REF!</f>
        <v>#REF!</v>
      </c>
      <c r="L59" s="100"/>
      <c r="M59" s="101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4"/>
      <c r="AC59" s="102"/>
      <c r="AD59" s="102"/>
      <c r="AE59" s="102"/>
    </row>
    <row r="60" spans="1:31" ht="15.5">
      <c r="A60" t="s">
        <v>346</v>
      </c>
      <c r="B60">
        <f>B58*B32</f>
        <v>0</v>
      </c>
      <c r="C60">
        <f>C58*B32</f>
        <v>0</v>
      </c>
      <c r="L60" s="92"/>
      <c r="M60" s="92"/>
      <c r="N60" s="92"/>
      <c r="O60" s="92"/>
      <c r="P60" s="92"/>
      <c r="Q60" s="92"/>
      <c r="R60" s="94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103"/>
      <c r="AD60" s="103"/>
      <c r="AE60" s="103"/>
    </row>
    <row r="61" spans="1:31" ht="15.5">
      <c r="A61" t="s">
        <v>347</v>
      </c>
      <c r="B61" t="e">
        <f>B59+B60</f>
        <v>#REF!</v>
      </c>
      <c r="C61" t="e">
        <f>C59+C60</f>
        <v>#REF!</v>
      </c>
      <c r="D61" s="104" t="e">
        <f>(B61-C61)/C61</f>
        <v>#REF!</v>
      </c>
      <c r="E61" s="104"/>
      <c r="F61" s="104"/>
      <c r="G61" s="104"/>
      <c r="H61" s="104"/>
      <c r="I61" s="10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100"/>
      <c r="AD61" s="100"/>
      <c r="AE61" s="100"/>
    </row>
    <row r="62" spans="1:31" ht="15.5"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4"/>
      <c r="AD62" s="124"/>
      <c r="AE62" s="124"/>
    </row>
    <row r="63" spans="1:31" ht="15.5">
      <c r="A63" t="s">
        <v>348</v>
      </c>
      <c r="B63">
        <f>B9*C63</f>
        <v>168.09899050134175</v>
      </c>
      <c r="C63">
        <v>392</v>
      </c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4"/>
      <c r="AD63" s="124"/>
      <c r="AE63" s="124"/>
    </row>
    <row r="64" spans="1:31" ht="15.5">
      <c r="A64" t="s">
        <v>349</v>
      </c>
      <c r="B64" t="e">
        <f>B63*#REF!</f>
        <v>#REF!</v>
      </c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100"/>
      <c r="AD64" s="100"/>
      <c r="AE64" s="100"/>
    </row>
    <row r="65" spans="1:31" ht="14.5">
      <c r="A65" t="s">
        <v>346</v>
      </c>
      <c r="B65">
        <f>B63*B32</f>
        <v>0</v>
      </c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103"/>
      <c r="AD65" s="103"/>
      <c r="AE65" s="103"/>
    </row>
    <row r="66" spans="1:31" ht="15.5">
      <c r="A66" t="s">
        <v>347</v>
      </c>
      <c r="B66" t="e">
        <f>B64+B65</f>
        <v>#REF!</v>
      </c>
      <c r="L66" s="123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8"/>
      <c r="AD66" s="98"/>
      <c r="AE66" s="98"/>
    </row>
    <row r="67" spans="1:31" ht="15.5">
      <c r="L67" s="94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4"/>
      <c r="Z67" s="92"/>
      <c r="AA67" s="92"/>
      <c r="AB67" s="92"/>
      <c r="AC67" s="100"/>
      <c r="AD67" s="100"/>
      <c r="AE67" s="100"/>
    </row>
    <row r="68" spans="1:31" ht="15.5">
      <c r="A68" t="s">
        <v>350</v>
      </c>
      <c r="B68" s="105">
        <f>B53*B9</f>
        <v>0.10291774928653576</v>
      </c>
      <c r="L68" s="94"/>
      <c r="M68" s="92"/>
      <c r="N68" s="92"/>
      <c r="O68" s="92"/>
      <c r="P68" s="92"/>
      <c r="Q68" s="92"/>
      <c r="R68" s="92"/>
      <c r="S68" s="92"/>
      <c r="T68" s="99"/>
      <c r="U68" s="92"/>
      <c r="V68" s="92"/>
      <c r="W68" s="92"/>
      <c r="X68" s="92"/>
      <c r="Y68" s="94"/>
      <c r="Z68" s="92"/>
      <c r="AA68" s="92"/>
      <c r="AB68" s="92"/>
      <c r="AC68" s="100"/>
      <c r="AD68" s="100"/>
      <c r="AE68" s="100"/>
    </row>
    <row r="69" spans="1:31" ht="15.5">
      <c r="A69" t="s">
        <v>349</v>
      </c>
      <c r="B69" t="e">
        <f>B68*#REF!</f>
        <v>#REF!</v>
      </c>
      <c r="L69" s="94"/>
      <c r="M69" s="92"/>
      <c r="N69" s="92"/>
      <c r="O69" s="92"/>
      <c r="P69" s="92"/>
      <c r="Q69" s="92"/>
      <c r="R69" s="92"/>
      <c r="S69" s="92"/>
      <c r="T69" s="99"/>
      <c r="U69" s="92"/>
      <c r="V69" s="92"/>
      <c r="W69" s="92"/>
      <c r="X69" s="92"/>
      <c r="Y69" s="94"/>
      <c r="Z69" s="92"/>
      <c r="AA69" s="92"/>
      <c r="AB69" s="92"/>
      <c r="AC69" s="100"/>
      <c r="AD69" s="100"/>
      <c r="AE69" s="100"/>
    </row>
    <row r="70" spans="1:31" ht="15.5">
      <c r="A70" t="s">
        <v>346</v>
      </c>
      <c r="B70">
        <f>B68*B32</f>
        <v>0</v>
      </c>
      <c r="L70" s="94"/>
      <c r="M70" s="92"/>
      <c r="N70" s="92"/>
      <c r="O70" s="92"/>
      <c r="P70" s="92"/>
      <c r="Q70" s="92"/>
      <c r="R70" s="92"/>
      <c r="S70" s="92"/>
      <c r="T70" s="99"/>
      <c r="U70" s="92"/>
      <c r="V70" s="92"/>
      <c r="W70" s="92"/>
      <c r="X70" s="92"/>
      <c r="Y70" s="92"/>
      <c r="Z70" s="92"/>
      <c r="AA70" s="92"/>
      <c r="AB70" s="92"/>
      <c r="AC70" s="100"/>
      <c r="AD70" s="100"/>
      <c r="AE70" s="100"/>
    </row>
    <row r="71" spans="1:31" ht="15.5">
      <c r="A71" t="s">
        <v>347</v>
      </c>
      <c r="B71" s="105" t="e">
        <f>B69+B70</f>
        <v>#REF!</v>
      </c>
      <c r="L71" s="122"/>
      <c r="M71" s="122"/>
      <c r="N71" s="122"/>
      <c r="O71" s="122"/>
      <c r="P71" s="122"/>
      <c r="Q71" s="122"/>
      <c r="R71" s="122"/>
      <c r="S71" s="122"/>
      <c r="T71" s="125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</row>
    <row r="72" spans="1:31" ht="15.5">
      <c r="L72" s="92"/>
      <c r="M72" s="92"/>
      <c r="N72" s="92"/>
      <c r="O72" s="92"/>
      <c r="P72" s="92"/>
      <c r="Q72" s="92"/>
      <c r="R72" s="94"/>
      <c r="S72" s="92"/>
      <c r="T72" s="99"/>
      <c r="U72" s="92"/>
      <c r="V72" s="92"/>
      <c r="W72" s="92"/>
      <c r="X72" s="92"/>
      <c r="Y72" s="92"/>
      <c r="Z72" s="92"/>
      <c r="AA72" s="92"/>
      <c r="AB72" s="92"/>
      <c r="AC72" s="92"/>
      <c r="AD72" s="688"/>
      <c r="AE72" s="688"/>
    </row>
    <row r="73" spans="1:31" ht="15.5">
      <c r="L73" s="92"/>
      <c r="M73" s="92"/>
      <c r="N73" s="92"/>
      <c r="O73" s="92"/>
      <c r="P73" s="92"/>
      <c r="Q73" s="92"/>
      <c r="R73" s="94"/>
      <c r="S73" s="92"/>
      <c r="T73" s="99"/>
      <c r="U73" s="92"/>
      <c r="V73" s="92"/>
      <c r="W73" s="92"/>
      <c r="X73" s="92"/>
      <c r="Y73" s="92"/>
      <c r="Z73" s="92"/>
      <c r="AA73" s="92"/>
      <c r="AB73" s="92"/>
      <c r="AC73" s="92"/>
      <c r="AD73" s="688"/>
      <c r="AE73" s="688"/>
    </row>
    <row r="74" spans="1:31" ht="15.5">
      <c r="L74" s="92"/>
      <c r="M74" s="92"/>
      <c r="N74" s="92"/>
      <c r="O74" s="92"/>
      <c r="P74" s="92"/>
      <c r="Q74" s="92"/>
      <c r="R74" s="94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688"/>
      <c r="AE74" s="688"/>
    </row>
    <row r="75" spans="1:31" ht="15.5">
      <c r="L75" s="92"/>
      <c r="M75" s="92"/>
      <c r="N75" s="92"/>
      <c r="O75" s="92"/>
      <c r="P75" s="92"/>
      <c r="Q75" s="92"/>
      <c r="R75" s="94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688"/>
      <c r="AE75" s="688"/>
    </row>
    <row r="76" spans="1:31" ht="14.5"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688"/>
      <c r="AE76" s="688"/>
    </row>
    <row r="77" spans="1:31" ht="14.5"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688"/>
      <c r="AE77" s="688"/>
    </row>
    <row r="78" spans="1:31" ht="14.5"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689"/>
      <c r="AE78" s="689"/>
    </row>
    <row r="79" spans="1:31" ht="14.5"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689"/>
      <c r="AE79" s="689"/>
    </row>
    <row r="80" spans="1:31" ht="14.5"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</row>
    <row r="91" spans="12:31" ht="23.5">
      <c r="L91" s="41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122"/>
    </row>
    <row r="92" spans="12:31" ht="14.5"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</row>
    <row r="93" spans="12:31" ht="15.5">
      <c r="L93" s="123"/>
      <c r="M93" s="123"/>
      <c r="N93" s="685"/>
      <c r="O93" s="685"/>
      <c r="P93" s="685"/>
      <c r="Q93" s="685"/>
      <c r="R93" s="685"/>
      <c r="S93" s="685"/>
      <c r="T93" s="685"/>
      <c r="U93" s="685"/>
      <c r="V93" s="685"/>
      <c r="W93" s="123"/>
      <c r="X93" s="123"/>
      <c r="Y93" s="685"/>
      <c r="Z93" s="685"/>
      <c r="AA93" s="685"/>
      <c r="AB93" s="123"/>
      <c r="AC93" s="685"/>
      <c r="AD93" s="685"/>
      <c r="AE93" s="685"/>
    </row>
    <row r="94" spans="12:31" ht="15.5">
      <c r="L94" s="685"/>
      <c r="M94" s="685"/>
      <c r="N94" s="97"/>
      <c r="O94" s="97"/>
      <c r="P94" s="97"/>
      <c r="Q94" s="97"/>
      <c r="R94" s="687"/>
      <c r="S94" s="687"/>
      <c r="T94" s="687"/>
      <c r="U94" s="97"/>
      <c r="V94" s="687"/>
      <c r="W94" s="686"/>
      <c r="X94" s="98"/>
      <c r="Y94" s="686"/>
      <c r="Z94" s="686"/>
      <c r="AA94" s="686"/>
      <c r="AB94" s="686"/>
      <c r="AC94" s="686"/>
      <c r="AD94" s="686"/>
      <c r="AE94" s="686"/>
    </row>
    <row r="95" spans="12:31" ht="15.5">
      <c r="L95" s="685"/>
      <c r="M95" s="685"/>
      <c r="N95" s="97"/>
      <c r="O95" s="97"/>
      <c r="P95" s="97"/>
      <c r="Q95" s="97"/>
      <c r="R95" s="687"/>
      <c r="S95" s="687"/>
      <c r="T95" s="687"/>
      <c r="U95" s="97"/>
      <c r="V95" s="687"/>
      <c r="W95" s="686"/>
      <c r="X95" s="98"/>
      <c r="Y95" s="686"/>
      <c r="Z95" s="686"/>
      <c r="AA95" s="686"/>
      <c r="AB95" s="686"/>
      <c r="AC95" s="686"/>
      <c r="AD95" s="686"/>
      <c r="AE95" s="686"/>
    </row>
    <row r="96" spans="12:31" ht="15.5">
      <c r="L96" s="96"/>
      <c r="M96" s="96"/>
      <c r="N96" s="97"/>
      <c r="O96" s="97"/>
      <c r="P96" s="97"/>
      <c r="Q96" s="97"/>
      <c r="R96" s="97"/>
      <c r="S96" s="97"/>
      <c r="T96" s="97"/>
      <c r="U96" s="97"/>
      <c r="V96" s="97"/>
      <c r="W96" s="98"/>
      <c r="X96" s="98"/>
      <c r="Y96" s="98"/>
      <c r="Z96" s="98"/>
      <c r="AA96" s="98"/>
      <c r="AB96" s="98"/>
      <c r="AC96" s="98"/>
      <c r="AD96" s="98"/>
      <c r="AE96" s="98"/>
    </row>
    <row r="97" spans="12:31" ht="15.5">
      <c r="L97" s="96"/>
      <c r="M97" s="96"/>
      <c r="N97" s="97"/>
      <c r="O97" s="97"/>
      <c r="P97" s="97"/>
      <c r="Q97" s="97"/>
      <c r="R97" s="97"/>
      <c r="S97" s="97"/>
      <c r="T97" s="97"/>
      <c r="U97" s="97"/>
      <c r="V97" s="97"/>
      <c r="W97" s="98"/>
      <c r="X97" s="98"/>
      <c r="Y97" s="98"/>
      <c r="Z97" s="98"/>
      <c r="AA97" s="98"/>
      <c r="AB97" s="98"/>
      <c r="AC97" s="98"/>
      <c r="AD97" s="98"/>
      <c r="AE97" s="98"/>
    </row>
    <row r="98" spans="12:31" ht="15.5">
      <c r="L98" s="100"/>
      <c r="M98" s="101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4"/>
      <c r="AC98" s="102"/>
      <c r="AD98" s="102"/>
      <c r="AE98" s="102"/>
    </row>
    <row r="99" spans="12:31" ht="15.5">
      <c r="L99" s="100"/>
      <c r="M99" s="101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4"/>
      <c r="AC99" s="102"/>
      <c r="AD99" s="102"/>
      <c r="AE99" s="102"/>
    </row>
    <row r="100" spans="12:31" ht="15.5">
      <c r="L100" s="100"/>
      <c r="M100" s="101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4"/>
      <c r="AC100" s="102"/>
      <c r="AD100" s="102"/>
      <c r="AE100" s="102"/>
    </row>
    <row r="101" spans="12:31" ht="15.5">
      <c r="L101" s="100"/>
      <c r="M101" s="101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4"/>
      <c r="AC101" s="102"/>
      <c r="AD101" s="102"/>
      <c r="AE101" s="102"/>
    </row>
    <row r="102" spans="12:31" ht="15.5">
      <c r="L102" s="100"/>
      <c r="M102" s="101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4"/>
      <c r="AC102" s="102"/>
      <c r="AD102" s="102"/>
      <c r="AE102" s="102"/>
    </row>
    <row r="103" spans="12:31" ht="15.5">
      <c r="L103" s="100"/>
      <c r="M103" s="101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4"/>
      <c r="AC103" s="102"/>
      <c r="AD103" s="102"/>
      <c r="AE103" s="102"/>
    </row>
    <row r="104" spans="12:31" ht="15.5">
      <c r="L104" s="92"/>
      <c r="M104" s="92"/>
      <c r="N104" s="92"/>
      <c r="O104" s="92"/>
      <c r="P104" s="92"/>
      <c r="Q104" s="92"/>
      <c r="R104" s="94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103"/>
      <c r="AD104" s="103"/>
      <c r="AE104" s="103"/>
    </row>
    <row r="105" spans="12:31" ht="15.5"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100"/>
      <c r="AD105" s="100"/>
      <c r="AE105" s="100"/>
    </row>
    <row r="106" spans="12:31" ht="15.5"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4"/>
      <c r="AD106" s="124"/>
      <c r="AE106" s="124"/>
    </row>
    <row r="107" spans="12:31" ht="15.5"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4"/>
      <c r="AD107" s="124"/>
      <c r="AE107" s="124"/>
    </row>
    <row r="108" spans="12:31" ht="15.5"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100"/>
      <c r="AD108" s="100"/>
      <c r="AE108" s="100"/>
    </row>
    <row r="109" spans="12:31" ht="14.5"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103"/>
      <c r="AD109" s="103"/>
      <c r="AE109" s="103"/>
    </row>
    <row r="110" spans="12:31" ht="15.5">
      <c r="L110" s="123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8"/>
      <c r="AD110" s="98"/>
      <c r="AE110" s="98"/>
    </row>
    <row r="111" spans="12:31" ht="15.5">
      <c r="L111" s="94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4"/>
      <c r="Z111" s="92"/>
      <c r="AA111" s="92"/>
      <c r="AB111" s="92"/>
      <c r="AC111" s="100"/>
      <c r="AD111" s="100"/>
      <c r="AE111" s="100"/>
    </row>
    <row r="112" spans="12:31" ht="15.5">
      <c r="L112" s="94"/>
      <c r="M112" s="92"/>
      <c r="N112" s="92"/>
      <c r="O112" s="92"/>
      <c r="P112" s="92"/>
      <c r="Q112" s="92"/>
      <c r="R112" s="92"/>
      <c r="S112" s="92"/>
      <c r="T112" s="99"/>
      <c r="U112" s="92"/>
      <c r="V112" s="92"/>
      <c r="W112" s="92"/>
      <c r="X112" s="92"/>
      <c r="Y112" s="94"/>
      <c r="Z112" s="92"/>
      <c r="AA112" s="92"/>
      <c r="AB112" s="92"/>
      <c r="AC112" s="100"/>
      <c r="AD112" s="100"/>
      <c r="AE112" s="100"/>
    </row>
    <row r="113" spans="12:31" ht="15.5">
      <c r="L113" s="94"/>
      <c r="M113" s="92"/>
      <c r="N113" s="92"/>
      <c r="O113" s="92"/>
      <c r="P113" s="92"/>
      <c r="Q113" s="92"/>
      <c r="R113" s="92"/>
      <c r="S113" s="92"/>
      <c r="T113" s="99"/>
      <c r="U113" s="92"/>
      <c r="V113" s="92"/>
      <c r="W113" s="92"/>
      <c r="X113" s="92"/>
      <c r="Y113" s="94"/>
      <c r="Z113" s="92"/>
      <c r="AA113" s="92"/>
      <c r="AB113" s="92"/>
      <c r="AC113" s="100"/>
      <c r="AD113" s="100"/>
      <c r="AE113" s="100"/>
    </row>
    <row r="114" spans="12:31" ht="15.5">
      <c r="L114" s="94"/>
      <c r="M114" s="92"/>
      <c r="N114" s="92"/>
      <c r="O114" s="92"/>
      <c r="P114" s="92"/>
      <c r="Q114" s="92"/>
      <c r="R114" s="92"/>
      <c r="S114" s="92"/>
      <c r="T114" s="99"/>
      <c r="U114" s="92"/>
      <c r="V114" s="92"/>
      <c r="W114" s="92"/>
      <c r="X114" s="92"/>
      <c r="Y114" s="92"/>
      <c r="Z114" s="92"/>
      <c r="AA114" s="92"/>
      <c r="AB114" s="92"/>
      <c r="AC114" s="100"/>
      <c r="AD114" s="100"/>
      <c r="AE114" s="100"/>
    </row>
    <row r="115" spans="12:31" ht="15.5">
      <c r="L115" s="122"/>
      <c r="M115" s="122"/>
      <c r="N115" s="122"/>
      <c r="O115" s="122"/>
      <c r="P115" s="122"/>
      <c r="Q115" s="122"/>
      <c r="R115" s="122"/>
      <c r="S115" s="122"/>
      <c r="T115" s="125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</row>
    <row r="116" spans="12:31" ht="15.5">
      <c r="L116" s="92"/>
      <c r="M116" s="92"/>
      <c r="N116" s="92"/>
      <c r="O116" s="92"/>
      <c r="P116" s="92"/>
      <c r="Q116" s="92"/>
      <c r="R116" s="94"/>
      <c r="S116" s="92"/>
      <c r="T116" s="99"/>
      <c r="U116" s="92"/>
      <c r="V116" s="92"/>
      <c r="W116" s="92"/>
      <c r="X116" s="92"/>
      <c r="Y116" s="92"/>
      <c r="Z116" s="92"/>
      <c r="AA116" s="92"/>
      <c r="AB116" s="92"/>
      <c r="AC116" s="92"/>
      <c r="AD116" s="688"/>
      <c r="AE116" s="688"/>
    </row>
    <row r="117" spans="12:31" ht="15.5">
      <c r="L117" s="92"/>
      <c r="M117" s="92"/>
      <c r="N117" s="92"/>
      <c r="O117" s="92"/>
      <c r="P117" s="92"/>
      <c r="Q117" s="92"/>
      <c r="R117" s="94"/>
      <c r="S117" s="92"/>
      <c r="T117" s="99"/>
      <c r="U117" s="92"/>
      <c r="V117" s="92"/>
      <c r="W117" s="92"/>
      <c r="X117" s="92"/>
      <c r="Y117" s="92"/>
      <c r="Z117" s="92"/>
      <c r="AA117" s="92"/>
      <c r="AB117" s="92"/>
      <c r="AC117" s="92"/>
      <c r="AD117" s="688"/>
      <c r="AE117" s="688"/>
    </row>
    <row r="118" spans="12:31" ht="15.5">
      <c r="L118" s="92"/>
      <c r="M118" s="92"/>
      <c r="N118" s="92"/>
      <c r="O118" s="92"/>
      <c r="P118" s="92"/>
      <c r="Q118" s="92"/>
      <c r="R118" s="94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688"/>
      <c r="AE118" s="688"/>
    </row>
    <row r="119" spans="12:31" ht="15.5">
      <c r="L119" s="92"/>
      <c r="M119" s="92"/>
      <c r="N119" s="92"/>
      <c r="O119" s="92"/>
      <c r="P119" s="92"/>
      <c r="Q119" s="92"/>
      <c r="R119" s="94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688"/>
      <c r="AE119" s="688"/>
    </row>
    <row r="120" spans="12:31" ht="14.5"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688"/>
      <c r="AE120" s="688"/>
    </row>
    <row r="121" spans="12:31" ht="14.5"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688"/>
      <c r="AE121" s="688"/>
    </row>
    <row r="122" spans="12:31" ht="14.5"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689"/>
      <c r="AE122" s="689"/>
    </row>
    <row r="123" spans="12:31" ht="14.5"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689"/>
      <c r="AE123" s="689"/>
    </row>
  </sheetData>
  <mergeCells count="42">
    <mergeCell ref="AD122:AD123"/>
    <mergeCell ref="AE122:AE123"/>
    <mergeCell ref="AD116:AD121"/>
    <mergeCell ref="AE116:AE121"/>
    <mergeCell ref="AE94:AE95"/>
    <mergeCell ref="Z94:Z95"/>
    <mergeCell ref="AA94:AA95"/>
    <mergeCell ref="AB94:AB95"/>
    <mergeCell ref="AC94:AC95"/>
    <mergeCell ref="AD94:AD95"/>
    <mergeCell ref="V94:V95"/>
    <mergeCell ref="W94:W95"/>
    <mergeCell ref="Y94:Y95"/>
    <mergeCell ref="L94:L95"/>
    <mergeCell ref="M94:M95"/>
    <mergeCell ref="R94:R95"/>
    <mergeCell ref="S94:S95"/>
    <mergeCell ref="T94:T95"/>
    <mergeCell ref="N93:V93"/>
    <mergeCell ref="Y93:AA93"/>
    <mergeCell ref="AC93:AE93"/>
    <mergeCell ref="AD78:AD79"/>
    <mergeCell ref="AE78:AE79"/>
    <mergeCell ref="AD72:AD77"/>
    <mergeCell ref="AE72:AE77"/>
    <mergeCell ref="V50:V51"/>
    <mergeCell ref="W50:W51"/>
    <mergeCell ref="Y50:Y51"/>
    <mergeCell ref="L50:L51"/>
    <mergeCell ref="M50:M51"/>
    <mergeCell ref="R50:R51"/>
    <mergeCell ref="S50:S51"/>
    <mergeCell ref="T50:T51"/>
    <mergeCell ref="AC49:AE49"/>
    <mergeCell ref="N49:V49"/>
    <mergeCell ref="Y49:AA49"/>
    <mergeCell ref="Z50:Z51"/>
    <mergeCell ref="AA50:AA51"/>
    <mergeCell ref="AB50:AB51"/>
    <mergeCell ref="AC50:AC51"/>
    <mergeCell ref="AD50:AD51"/>
    <mergeCell ref="AE50:AE5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autoPageBreaks="0" fitToPage="1"/>
  </sheetPr>
  <dimension ref="A1:X36"/>
  <sheetViews>
    <sheetView showGridLines="0" zoomScaleNormal="100" workbookViewId="0">
      <pane ySplit="2" topLeftCell="A3" activePane="bottomLeft" state="frozen"/>
      <selection activeCell="A2" sqref="A2"/>
      <selection pane="bottomLeft" activeCell="Y16" sqref="Y16"/>
    </sheetView>
  </sheetViews>
  <sheetFormatPr defaultRowHeight="12.5"/>
  <cols>
    <col min="1" max="1" width="1.54296875" style="4" customWidth="1"/>
    <col min="2" max="2" width="40.54296875" style="4" customWidth="1"/>
    <col min="3" max="8" width="10.54296875" style="4" customWidth="1"/>
    <col min="9" max="10" width="10.54296875" style="3" bestFit="1" customWidth="1"/>
    <col min="11" max="11" width="19.81640625" style="4" customWidth="1"/>
    <col min="12" max="12" width="25" style="4" customWidth="1"/>
    <col min="13" max="13" width="13.1796875" style="4" customWidth="1"/>
    <col min="14" max="14" width="15.81640625" style="4" customWidth="1"/>
    <col min="15" max="15" width="21" style="4" customWidth="1"/>
    <col min="16" max="16" width="9" style="4"/>
    <col min="17" max="17" width="32.26953125" style="4" customWidth="1"/>
    <col min="18" max="18" width="9.54296875" style="4" bestFit="1" customWidth="1"/>
    <col min="19" max="19" width="9" style="4"/>
    <col min="20" max="20" width="13.7265625" style="4" customWidth="1"/>
    <col min="21" max="21" width="9" style="4"/>
    <col min="22" max="22" width="16.26953125" style="4" customWidth="1"/>
    <col min="23" max="23" width="14.7265625" style="4" customWidth="1"/>
    <col min="24" max="256" width="9" style="4"/>
    <col min="257" max="257" width="1.54296875" style="4" customWidth="1"/>
    <col min="258" max="258" width="40.54296875" style="4" customWidth="1"/>
    <col min="259" max="264" width="10.54296875" style="4" customWidth="1"/>
    <col min="265" max="266" width="9.54296875" style="4" bestFit="1" customWidth="1"/>
    <col min="267" max="512" width="9" style="4"/>
    <col min="513" max="513" width="1.54296875" style="4" customWidth="1"/>
    <col min="514" max="514" width="40.54296875" style="4" customWidth="1"/>
    <col min="515" max="520" width="10.54296875" style="4" customWidth="1"/>
    <col min="521" max="522" width="9.54296875" style="4" bestFit="1" customWidth="1"/>
    <col min="523" max="768" width="9" style="4"/>
    <col min="769" max="769" width="1.54296875" style="4" customWidth="1"/>
    <col min="770" max="770" width="40.54296875" style="4" customWidth="1"/>
    <col min="771" max="776" width="10.54296875" style="4" customWidth="1"/>
    <col min="777" max="778" width="9.54296875" style="4" bestFit="1" customWidth="1"/>
    <col min="779" max="1024" width="9" style="4"/>
    <col min="1025" max="1025" width="1.54296875" style="4" customWidth="1"/>
    <col min="1026" max="1026" width="40.54296875" style="4" customWidth="1"/>
    <col min="1027" max="1032" width="10.54296875" style="4" customWidth="1"/>
    <col min="1033" max="1034" width="9.54296875" style="4" bestFit="1" customWidth="1"/>
    <col min="1035" max="1280" width="9" style="4"/>
    <col min="1281" max="1281" width="1.54296875" style="4" customWidth="1"/>
    <col min="1282" max="1282" width="40.54296875" style="4" customWidth="1"/>
    <col min="1283" max="1288" width="10.54296875" style="4" customWidth="1"/>
    <col min="1289" max="1290" width="9.54296875" style="4" bestFit="1" customWidth="1"/>
    <col min="1291" max="1536" width="9" style="4"/>
    <col min="1537" max="1537" width="1.54296875" style="4" customWidth="1"/>
    <col min="1538" max="1538" width="40.54296875" style="4" customWidth="1"/>
    <col min="1539" max="1544" width="10.54296875" style="4" customWidth="1"/>
    <col min="1545" max="1546" width="9.54296875" style="4" bestFit="1" customWidth="1"/>
    <col min="1547" max="1792" width="9" style="4"/>
    <col min="1793" max="1793" width="1.54296875" style="4" customWidth="1"/>
    <col min="1794" max="1794" width="40.54296875" style="4" customWidth="1"/>
    <col min="1795" max="1800" width="10.54296875" style="4" customWidth="1"/>
    <col min="1801" max="1802" width="9.54296875" style="4" bestFit="1" customWidth="1"/>
    <col min="1803" max="2048" width="9" style="4"/>
    <col min="2049" max="2049" width="1.54296875" style="4" customWidth="1"/>
    <col min="2050" max="2050" width="40.54296875" style="4" customWidth="1"/>
    <col min="2051" max="2056" width="10.54296875" style="4" customWidth="1"/>
    <col min="2057" max="2058" width="9.54296875" style="4" bestFit="1" customWidth="1"/>
    <col min="2059" max="2304" width="9" style="4"/>
    <col min="2305" max="2305" width="1.54296875" style="4" customWidth="1"/>
    <col min="2306" max="2306" width="40.54296875" style="4" customWidth="1"/>
    <col min="2307" max="2312" width="10.54296875" style="4" customWidth="1"/>
    <col min="2313" max="2314" width="9.54296875" style="4" bestFit="1" customWidth="1"/>
    <col min="2315" max="2560" width="9" style="4"/>
    <col min="2561" max="2561" width="1.54296875" style="4" customWidth="1"/>
    <col min="2562" max="2562" width="40.54296875" style="4" customWidth="1"/>
    <col min="2563" max="2568" width="10.54296875" style="4" customWidth="1"/>
    <col min="2569" max="2570" width="9.54296875" style="4" bestFit="1" customWidth="1"/>
    <col min="2571" max="2816" width="9" style="4"/>
    <col min="2817" max="2817" width="1.54296875" style="4" customWidth="1"/>
    <col min="2818" max="2818" width="40.54296875" style="4" customWidth="1"/>
    <col min="2819" max="2824" width="10.54296875" style="4" customWidth="1"/>
    <col min="2825" max="2826" width="9.54296875" style="4" bestFit="1" customWidth="1"/>
    <col min="2827" max="3072" width="9" style="4"/>
    <col min="3073" max="3073" width="1.54296875" style="4" customWidth="1"/>
    <col min="3074" max="3074" width="40.54296875" style="4" customWidth="1"/>
    <col min="3075" max="3080" width="10.54296875" style="4" customWidth="1"/>
    <col min="3081" max="3082" width="9.54296875" style="4" bestFit="1" customWidth="1"/>
    <col min="3083" max="3328" width="9" style="4"/>
    <col min="3329" max="3329" width="1.54296875" style="4" customWidth="1"/>
    <col min="3330" max="3330" width="40.54296875" style="4" customWidth="1"/>
    <col min="3331" max="3336" width="10.54296875" style="4" customWidth="1"/>
    <col min="3337" max="3338" width="9.54296875" style="4" bestFit="1" customWidth="1"/>
    <col min="3339" max="3584" width="9" style="4"/>
    <col min="3585" max="3585" width="1.54296875" style="4" customWidth="1"/>
    <col min="3586" max="3586" width="40.54296875" style="4" customWidth="1"/>
    <col min="3587" max="3592" width="10.54296875" style="4" customWidth="1"/>
    <col min="3593" max="3594" width="9.54296875" style="4" bestFit="1" customWidth="1"/>
    <col min="3595" max="3840" width="9" style="4"/>
    <col min="3841" max="3841" width="1.54296875" style="4" customWidth="1"/>
    <col min="3842" max="3842" width="40.54296875" style="4" customWidth="1"/>
    <col min="3843" max="3848" width="10.54296875" style="4" customWidth="1"/>
    <col min="3849" max="3850" width="9.54296875" style="4" bestFit="1" customWidth="1"/>
    <col min="3851" max="4096" width="9" style="4"/>
    <col min="4097" max="4097" width="1.54296875" style="4" customWidth="1"/>
    <col min="4098" max="4098" width="40.54296875" style="4" customWidth="1"/>
    <col min="4099" max="4104" width="10.54296875" style="4" customWidth="1"/>
    <col min="4105" max="4106" width="9.54296875" style="4" bestFit="1" customWidth="1"/>
    <col min="4107" max="4352" width="9" style="4"/>
    <col min="4353" max="4353" width="1.54296875" style="4" customWidth="1"/>
    <col min="4354" max="4354" width="40.54296875" style="4" customWidth="1"/>
    <col min="4355" max="4360" width="10.54296875" style="4" customWidth="1"/>
    <col min="4361" max="4362" width="9.54296875" style="4" bestFit="1" customWidth="1"/>
    <col min="4363" max="4608" width="9" style="4"/>
    <col min="4609" max="4609" width="1.54296875" style="4" customWidth="1"/>
    <col min="4610" max="4610" width="40.54296875" style="4" customWidth="1"/>
    <col min="4611" max="4616" width="10.54296875" style="4" customWidth="1"/>
    <col min="4617" max="4618" width="9.54296875" style="4" bestFit="1" customWidth="1"/>
    <col min="4619" max="4864" width="9" style="4"/>
    <col min="4865" max="4865" width="1.54296875" style="4" customWidth="1"/>
    <col min="4866" max="4866" width="40.54296875" style="4" customWidth="1"/>
    <col min="4867" max="4872" width="10.54296875" style="4" customWidth="1"/>
    <col min="4873" max="4874" width="9.54296875" style="4" bestFit="1" customWidth="1"/>
    <col min="4875" max="5120" width="9" style="4"/>
    <col min="5121" max="5121" width="1.54296875" style="4" customWidth="1"/>
    <col min="5122" max="5122" width="40.54296875" style="4" customWidth="1"/>
    <col min="5123" max="5128" width="10.54296875" style="4" customWidth="1"/>
    <col min="5129" max="5130" width="9.54296875" style="4" bestFit="1" customWidth="1"/>
    <col min="5131" max="5376" width="9" style="4"/>
    <col min="5377" max="5377" width="1.54296875" style="4" customWidth="1"/>
    <col min="5378" max="5378" width="40.54296875" style="4" customWidth="1"/>
    <col min="5379" max="5384" width="10.54296875" style="4" customWidth="1"/>
    <col min="5385" max="5386" width="9.54296875" style="4" bestFit="1" customWidth="1"/>
    <col min="5387" max="5632" width="9" style="4"/>
    <col min="5633" max="5633" width="1.54296875" style="4" customWidth="1"/>
    <col min="5634" max="5634" width="40.54296875" style="4" customWidth="1"/>
    <col min="5635" max="5640" width="10.54296875" style="4" customWidth="1"/>
    <col min="5641" max="5642" width="9.54296875" style="4" bestFit="1" customWidth="1"/>
    <col min="5643" max="5888" width="9" style="4"/>
    <col min="5889" max="5889" width="1.54296875" style="4" customWidth="1"/>
    <col min="5890" max="5890" width="40.54296875" style="4" customWidth="1"/>
    <col min="5891" max="5896" width="10.54296875" style="4" customWidth="1"/>
    <col min="5897" max="5898" width="9.54296875" style="4" bestFit="1" customWidth="1"/>
    <col min="5899" max="6144" width="9" style="4"/>
    <col min="6145" max="6145" width="1.54296875" style="4" customWidth="1"/>
    <col min="6146" max="6146" width="40.54296875" style="4" customWidth="1"/>
    <col min="6147" max="6152" width="10.54296875" style="4" customWidth="1"/>
    <col min="6153" max="6154" width="9.54296875" style="4" bestFit="1" customWidth="1"/>
    <col min="6155" max="6400" width="9" style="4"/>
    <col min="6401" max="6401" width="1.54296875" style="4" customWidth="1"/>
    <col min="6402" max="6402" width="40.54296875" style="4" customWidth="1"/>
    <col min="6403" max="6408" width="10.54296875" style="4" customWidth="1"/>
    <col min="6409" max="6410" width="9.54296875" style="4" bestFit="1" customWidth="1"/>
    <col min="6411" max="6656" width="9" style="4"/>
    <col min="6657" max="6657" width="1.54296875" style="4" customWidth="1"/>
    <col min="6658" max="6658" width="40.54296875" style="4" customWidth="1"/>
    <col min="6659" max="6664" width="10.54296875" style="4" customWidth="1"/>
    <col min="6665" max="6666" width="9.54296875" style="4" bestFit="1" customWidth="1"/>
    <col min="6667" max="6912" width="9" style="4"/>
    <col min="6913" max="6913" width="1.54296875" style="4" customWidth="1"/>
    <col min="6914" max="6914" width="40.54296875" style="4" customWidth="1"/>
    <col min="6915" max="6920" width="10.54296875" style="4" customWidth="1"/>
    <col min="6921" max="6922" width="9.54296875" style="4" bestFit="1" customWidth="1"/>
    <col min="6923" max="7168" width="9" style="4"/>
    <col min="7169" max="7169" width="1.54296875" style="4" customWidth="1"/>
    <col min="7170" max="7170" width="40.54296875" style="4" customWidth="1"/>
    <col min="7171" max="7176" width="10.54296875" style="4" customWidth="1"/>
    <col min="7177" max="7178" width="9.54296875" style="4" bestFit="1" customWidth="1"/>
    <col min="7179" max="7424" width="9" style="4"/>
    <col min="7425" max="7425" width="1.54296875" style="4" customWidth="1"/>
    <col min="7426" max="7426" width="40.54296875" style="4" customWidth="1"/>
    <col min="7427" max="7432" width="10.54296875" style="4" customWidth="1"/>
    <col min="7433" max="7434" width="9.54296875" style="4" bestFit="1" customWidth="1"/>
    <col min="7435" max="7680" width="9" style="4"/>
    <col min="7681" max="7681" width="1.54296875" style="4" customWidth="1"/>
    <col min="7682" max="7682" width="40.54296875" style="4" customWidth="1"/>
    <col min="7683" max="7688" width="10.54296875" style="4" customWidth="1"/>
    <col min="7689" max="7690" width="9.54296875" style="4" bestFit="1" customWidth="1"/>
    <col min="7691" max="7936" width="9" style="4"/>
    <col min="7937" max="7937" width="1.54296875" style="4" customWidth="1"/>
    <col min="7938" max="7938" width="40.54296875" style="4" customWidth="1"/>
    <col min="7939" max="7944" width="10.54296875" style="4" customWidth="1"/>
    <col min="7945" max="7946" width="9.54296875" style="4" bestFit="1" customWidth="1"/>
    <col min="7947" max="8192" width="9" style="4"/>
    <col min="8193" max="8193" width="1.54296875" style="4" customWidth="1"/>
    <col min="8194" max="8194" width="40.54296875" style="4" customWidth="1"/>
    <col min="8195" max="8200" width="10.54296875" style="4" customWidth="1"/>
    <col min="8201" max="8202" width="9.54296875" style="4" bestFit="1" customWidth="1"/>
    <col min="8203" max="8448" width="9" style="4"/>
    <col min="8449" max="8449" width="1.54296875" style="4" customWidth="1"/>
    <col min="8450" max="8450" width="40.54296875" style="4" customWidth="1"/>
    <col min="8451" max="8456" width="10.54296875" style="4" customWidth="1"/>
    <col min="8457" max="8458" width="9.54296875" style="4" bestFit="1" customWidth="1"/>
    <col min="8459" max="8704" width="9" style="4"/>
    <col min="8705" max="8705" width="1.54296875" style="4" customWidth="1"/>
    <col min="8706" max="8706" width="40.54296875" style="4" customWidth="1"/>
    <col min="8707" max="8712" width="10.54296875" style="4" customWidth="1"/>
    <col min="8713" max="8714" width="9.54296875" style="4" bestFit="1" customWidth="1"/>
    <col min="8715" max="8960" width="9" style="4"/>
    <col min="8961" max="8961" width="1.54296875" style="4" customWidth="1"/>
    <col min="8962" max="8962" width="40.54296875" style="4" customWidth="1"/>
    <col min="8963" max="8968" width="10.54296875" style="4" customWidth="1"/>
    <col min="8969" max="8970" width="9.54296875" style="4" bestFit="1" customWidth="1"/>
    <col min="8971" max="9216" width="9" style="4"/>
    <col min="9217" max="9217" width="1.54296875" style="4" customWidth="1"/>
    <col min="9218" max="9218" width="40.54296875" style="4" customWidth="1"/>
    <col min="9219" max="9224" width="10.54296875" style="4" customWidth="1"/>
    <col min="9225" max="9226" width="9.54296875" style="4" bestFit="1" customWidth="1"/>
    <col min="9227" max="9472" width="9" style="4"/>
    <col min="9473" max="9473" width="1.54296875" style="4" customWidth="1"/>
    <col min="9474" max="9474" width="40.54296875" style="4" customWidth="1"/>
    <col min="9475" max="9480" width="10.54296875" style="4" customWidth="1"/>
    <col min="9481" max="9482" width="9.54296875" style="4" bestFit="1" customWidth="1"/>
    <col min="9483" max="9728" width="9" style="4"/>
    <col min="9729" max="9729" width="1.54296875" style="4" customWidth="1"/>
    <col min="9730" max="9730" width="40.54296875" style="4" customWidth="1"/>
    <col min="9731" max="9736" width="10.54296875" style="4" customWidth="1"/>
    <col min="9737" max="9738" width="9.54296875" style="4" bestFit="1" customWidth="1"/>
    <col min="9739" max="9984" width="9" style="4"/>
    <col min="9985" max="9985" width="1.54296875" style="4" customWidth="1"/>
    <col min="9986" max="9986" width="40.54296875" style="4" customWidth="1"/>
    <col min="9987" max="9992" width="10.54296875" style="4" customWidth="1"/>
    <col min="9993" max="9994" width="9.54296875" style="4" bestFit="1" customWidth="1"/>
    <col min="9995" max="10240" width="9" style="4"/>
    <col min="10241" max="10241" width="1.54296875" style="4" customWidth="1"/>
    <col min="10242" max="10242" width="40.54296875" style="4" customWidth="1"/>
    <col min="10243" max="10248" width="10.54296875" style="4" customWidth="1"/>
    <col min="10249" max="10250" width="9.54296875" style="4" bestFit="1" customWidth="1"/>
    <col min="10251" max="10496" width="9" style="4"/>
    <col min="10497" max="10497" width="1.54296875" style="4" customWidth="1"/>
    <col min="10498" max="10498" width="40.54296875" style="4" customWidth="1"/>
    <col min="10499" max="10504" width="10.54296875" style="4" customWidth="1"/>
    <col min="10505" max="10506" width="9.54296875" style="4" bestFit="1" customWidth="1"/>
    <col min="10507" max="10752" width="9" style="4"/>
    <col min="10753" max="10753" width="1.54296875" style="4" customWidth="1"/>
    <col min="10754" max="10754" width="40.54296875" style="4" customWidth="1"/>
    <col min="10755" max="10760" width="10.54296875" style="4" customWidth="1"/>
    <col min="10761" max="10762" width="9.54296875" style="4" bestFit="1" customWidth="1"/>
    <col min="10763" max="11008" width="9" style="4"/>
    <col min="11009" max="11009" width="1.54296875" style="4" customWidth="1"/>
    <col min="11010" max="11010" width="40.54296875" style="4" customWidth="1"/>
    <col min="11011" max="11016" width="10.54296875" style="4" customWidth="1"/>
    <col min="11017" max="11018" width="9.54296875" style="4" bestFit="1" customWidth="1"/>
    <col min="11019" max="11264" width="9" style="4"/>
    <col min="11265" max="11265" width="1.54296875" style="4" customWidth="1"/>
    <col min="11266" max="11266" width="40.54296875" style="4" customWidth="1"/>
    <col min="11267" max="11272" width="10.54296875" style="4" customWidth="1"/>
    <col min="11273" max="11274" width="9.54296875" style="4" bestFit="1" customWidth="1"/>
    <col min="11275" max="11520" width="9" style="4"/>
    <col min="11521" max="11521" width="1.54296875" style="4" customWidth="1"/>
    <col min="11522" max="11522" width="40.54296875" style="4" customWidth="1"/>
    <col min="11523" max="11528" width="10.54296875" style="4" customWidth="1"/>
    <col min="11529" max="11530" width="9.54296875" style="4" bestFit="1" customWidth="1"/>
    <col min="11531" max="11776" width="9" style="4"/>
    <col min="11777" max="11777" width="1.54296875" style="4" customWidth="1"/>
    <col min="11778" max="11778" width="40.54296875" style="4" customWidth="1"/>
    <col min="11779" max="11784" width="10.54296875" style="4" customWidth="1"/>
    <col min="11785" max="11786" width="9.54296875" style="4" bestFit="1" customWidth="1"/>
    <col min="11787" max="12032" width="9" style="4"/>
    <col min="12033" max="12033" width="1.54296875" style="4" customWidth="1"/>
    <col min="12034" max="12034" width="40.54296875" style="4" customWidth="1"/>
    <col min="12035" max="12040" width="10.54296875" style="4" customWidth="1"/>
    <col min="12041" max="12042" width="9.54296875" style="4" bestFit="1" customWidth="1"/>
    <col min="12043" max="12288" width="9" style="4"/>
    <col min="12289" max="12289" width="1.54296875" style="4" customWidth="1"/>
    <col min="12290" max="12290" width="40.54296875" style="4" customWidth="1"/>
    <col min="12291" max="12296" width="10.54296875" style="4" customWidth="1"/>
    <col min="12297" max="12298" width="9.54296875" style="4" bestFit="1" customWidth="1"/>
    <col min="12299" max="12544" width="9" style="4"/>
    <col min="12545" max="12545" width="1.54296875" style="4" customWidth="1"/>
    <col min="12546" max="12546" width="40.54296875" style="4" customWidth="1"/>
    <col min="12547" max="12552" width="10.54296875" style="4" customWidth="1"/>
    <col min="12553" max="12554" width="9.54296875" style="4" bestFit="1" customWidth="1"/>
    <col min="12555" max="12800" width="9" style="4"/>
    <col min="12801" max="12801" width="1.54296875" style="4" customWidth="1"/>
    <col min="12802" max="12802" width="40.54296875" style="4" customWidth="1"/>
    <col min="12803" max="12808" width="10.54296875" style="4" customWidth="1"/>
    <col min="12809" max="12810" width="9.54296875" style="4" bestFit="1" customWidth="1"/>
    <col min="12811" max="13056" width="9" style="4"/>
    <col min="13057" max="13057" width="1.54296875" style="4" customWidth="1"/>
    <col min="13058" max="13058" width="40.54296875" style="4" customWidth="1"/>
    <col min="13059" max="13064" width="10.54296875" style="4" customWidth="1"/>
    <col min="13065" max="13066" width="9.54296875" style="4" bestFit="1" customWidth="1"/>
    <col min="13067" max="13312" width="9" style="4"/>
    <col min="13313" max="13313" width="1.54296875" style="4" customWidth="1"/>
    <col min="13314" max="13314" width="40.54296875" style="4" customWidth="1"/>
    <col min="13315" max="13320" width="10.54296875" style="4" customWidth="1"/>
    <col min="13321" max="13322" width="9.54296875" style="4" bestFit="1" customWidth="1"/>
    <col min="13323" max="13568" width="9" style="4"/>
    <col min="13569" max="13569" width="1.54296875" style="4" customWidth="1"/>
    <col min="13570" max="13570" width="40.54296875" style="4" customWidth="1"/>
    <col min="13571" max="13576" width="10.54296875" style="4" customWidth="1"/>
    <col min="13577" max="13578" width="9.54296875" style="4" bestFit="1" customWidth="1"/>
    <col min="13579" max="13824" width="9" style="4"/>
    <col min="13825" max="13825" width="1.54296875" style="4" customWidth="1"/>
    <col min="13826" max="13826" width="40.54296875" style="4" customWidth="1"/>
    <col min="13827" max="13832" width="10.54296875" style="4" customWidth="1"/>
    <col min="13833" max="13834" width="9.54296875" style="4" bestFit="1" customWidth="1"/>
    <col min="13835" max="14080" width="9" style="4"/>
    <col min="14081" max="14081" width="1.54296875" style="4" customWidth="1"/>
    <col min="14082" max="14082" width="40.54296875" style="4" customWidth="1"/>
    <col min="14083" max="14088" width="10.54296875" style="4" customWidth="1"/>
    <col min="14089" max="14090" width="9.54296875" style="4" bestFit="1" customWidth="1"/>
    <col min="14091" max="14336" width="9" style="4"/>
    <col min="14337" max="14337" width="1.54296875" style="4" customWidth="1"/>
    <col min="14338" max="14338" width="40.54296875" style="4" customWidth="1"/>
    <col min="14339" max="14344" width="10.54296875" style="4" customWidth="1"/>
    <col min="14345" max="14346" width="9.54296875" style="4" bestFit="1" customWidth="1"/>
    <col min="14347" max="14592" width="9" style="4"/>
    <col min="14593" max="14593" width="1.54296875" style="4" customWidth="1"/>
    <col min="14594" max="14594" width="40.54296875" style="4" customWidth="1"/>
    <col min="14595" max="14600" width="10.54296875" style="4" customWidth="1"/>
    <col min="14601" max="14602" width="9.54296875" style="4" bestFit="1" customWidth="1"/>
    <col min="14603" max="14848" width="9" style="4"/>
    <col min="14849" max="14849" width="1.54296875" style="4" customWidth="1"/>
    <col min="14850" max="14850" width="40.54296875" style="4" customWidth="1"/>
    <col min="14851" max="14856" width="10.54296875" style="4" customWidth="1"/>
    <col min="14857" max="14858" width="9.54296875" style="4" bestFit="1" customWidth="1"/>
    <col min="14859" max="15104" width="9" style="4"/>
    <col min="15105" max="15105" width="1.54296875" style="4" customWidth="1"/>
    <col min="15106" max="15106" width="40.54296875" style="4" customWidth="1"/>
    <col min="15107" max="15112" width="10.54296875" style="4" customWidth="1"/>
    <col min="15113" max="15114" width="9.54296875" style="4" bestFit="1" customWidth="1"/>
    <col min="15115" max="15360" width="9" style="4"/>
    <col min="15361" max="15361" width="1.54296875" style="4" customWidth="1"/>
    <col min="15362" max="15362" width="40.54296875" style="4" customWidth="1"/>
    <col min="15363" max="15368" width="10.54296875" style="4" customWidth="1"/>
    <col min="15369" max="15370" width="9.54296875" style="4" bestFit="1" customWidth="1"/>
    <col min="15371" max="15616" width="9" style="4"/>
    <col min="15617" max="15617" width="1.54296875" style="4" customWidth="1"/>
    <col min="15618" max="15618" width="40.54296875" style="4" customWidth="1"/>
    <col min="15619" max="15624" width="10.54296875" style="4" customWidth="1"/>
    <col min="15625" max="15626" width="9.54296875" style="4" bestFit="1" customWidth="1"/>
    <col min="15627" max="15872" width="9" style="4"/>
    <col min="15873" max="15873" width="1.54296875" style="4" customWidth="1"/>
    <col min="15874" max="15874" width="40.54296875" style="4" customWidth="1"/>
    <col min="15875" max="15880" width="10.54296875" style="4" customWidth="1"/>
    <col min="15881" max="15882" width="9.54296875" style="4" bestFit="1" customWidth="1"/>
    <col min="15883" max="16128" width="9" style="4"/>
    <col min="16129" max="16129" width="1.54296875" style="4" customWidth="1"/>
    <col min="16130" max="16130" width="40.54296875" style="4" customWidth="1"/>
    <col min="16131" max="16136" width="10.54296875" style="4" customWidth="1"/>
    <col min="16137" max="16138" width="9.54296875" style="4" bestFit="1" customWidth="1"/>
    <col min="16139" max="16384" width="9" style="4"/>
  </cols>
  <sheetData>
    <row r="1" spans="1:24" s="16" customFormat="1" ht="18">
      <c r="A1" s="19" t="str">
        <f>CoName</f>
        <v>ServiceNow</v>
      </c>
      <c r="B1" s="20"/>
      <c r="C1" s="21" t="s">
        <v>142</v>
      </c>
      <c r="D1" s="21" t="s">
        <v>142</v>
      </c>
      <c r="E1" s="21" t="s">
        <v>142</v>
      </c>
      <c r="F1" s="21" t="s">
        <v>143</v>
      </c>
      <c r="G1" s="21" t="s">
        <v>143</v>
      </c>
      <c r="H1" s="21" t="s">
        <v>143</v>
      </c>
      <c r="I1" s="21" t="s">
        <v>143</v>
      </c>
      <c r="J1" s="21" t="s">
        <v>143</v>
      </c>
    </row>
    <row r="2" spans="1:24" s="16" customFormat="1" ht="18">
      <c r="A2" s="22" t="s">
        <v>351</v>
      </c>
      <c r="B2" s="23"/>
      <c r="C2" s="29">
        <v>2</v>
      </c>
      <c r="D2" s="29">
        <f>C2+1</f>
        <v>3</v>
      </c>
      <c r="E2" s="29">
        <f t="shared" ref="E2:J2" si="0">D2+1</f>
        <v>4</v>
      </c>
      <c r="F2" s="29">
        <f t="shared" si="0"/>
        <v>5</v>
      </c>
      <c r="G2" s="29">
        <f t="shared" si="0"/>
        <v>6</v>
      </c>
      <c r="H2" s="29">
        <f t="shared" si="0"/>
        <v>7</v>
      </c>
      <c r="I2" s="29">
        <f t="shared" si="0"/>
        <v>8</v>
      </c>
      <c r="J2" s="29">
        <f t="shared" si="0"/>
        <v>9</v>
      </c>
    </row>
    <row r="3" spans="1:24">
      <c r="I3" s="4"/>
      <c r="J3" s="4"/>
    </row>
    <row r="4" spans="1:24" ht="13">
      <c r="A4" s="115" t="s">
        <v>352</v>
      </c>
      <c r="B4" s="115"/>
      <c r="C4" s="115"/>
      <c r="D4" s="115"/>
      <c r="E4" s="115"/>
      <c r="F4" s="115"/>
      <c r="G4" s="115"/>
      <c r="H4" s="115"/>
      <c r="I4" s="115"/>
      <c r="J4" s="115"/>
    </row>
    <row r="5" spans="1:24" ht="15.5">
      <c r="C5"/>
      <c r="D5" s="690"/>
      <c r="E5" s="690"/>
      <c r="F5" s="690"/>
      <c r="G5" s="690"/>
      <c r="H5" s="690"/>
      <c r="I5" s="690"/>
      <c r="J5"/>
      <c r="K5" s="690"/>
      <c r="L5" s="690"/>
      <c r="M5" s="690"/>
      <c r="N5" s="690"/>
      <c r="O5" s="690"/>
    </row>
    <row r="6" spans="1:24">
      <c r="C6"/>
      <c r="D6"/>
      <c r="E6"/>
      <c r="F6"/>
      <c r="G6"/>
      <c r="H6"/>
      <c r="I6"/>
      <c r="J6" s="150"/>
      <c r="K6" t="s">
        <v>135</v>
      </c>
      <c r="L6"/>
      <c r="M6"/>
      <c r="N6"/>
      <c r="O6"/>
    </row>
    <row r="7" spans="1:24" ht="13">
      <c r="A7" s="115" t="s">
        <v>353</v>
      </c>
      <c r="B7" s="115"/>
      <c r="C7"/>
      <c r="D7" s="227"/>
      <c r="E7" s="228"/>
      <c r="F7" s="228"/>
      <c r="G7" s="228"/>
      <c r="H7" s="228"/>
      <c r="I7" s="229"/>
      <c r="J7" s="151"/>
      <c r="K7" s="227" t="s">
        <v>354</v>
      </c>
      <c r="L7" s="223"/>
      <c r="M7" s="223"/>
      <c r="N7" s="223"/>
      <c r="O7" s="223"/>
      <c r="P7" s="203"/>
      <c r="Q7" s="238" t="s">
        <v>225</v>
      </c>
      <c r="R7" s="239"/>
    </row>
    <row r="8" spans="1:24" ht="15.5">
      <c r="C8"/>
      <c r="D8" s="152"/>
      <c r="E8" s="151"/>
      <c r="F8" s="151"/>
      <c r="G8" s="151"/>
      <c r="H8" s="151"/>
      <c r="I8" s="153"/>
      <c r="J8" s="151"/>
      <c r="K8" s="224" t="s">
        <v>355</v>
      </c>
      <c r="L8" s="225" t="s">
        <v>356</v>
      </c>
      <c r="M8" s="225" t="s">
        <v>357</v>
      </c>
      <c r="N8" s="225" t="s">
        <v>358</v>
      </c>
      <c r="O8" s="226" t="s">
        <v>356</v>
      </c>
      <c r="P8" s="203"/>
      <c r="Q8" s="232" t="s">
        <v>226</v>
      </c>
      <c r="R8" s="241">
        <v>0.108</v>
      </c>
      <c r="T8" s="384" t="s">
        <v>355</v>
      </c>
      <c r="U8" s="379" t="s">
        <v>359</v>
      </c>
      <c r="V8" s="380" t="s">
        <v>360</v>
      </c>
      <c r="W8" s="383" t="s">
        <v>361</v>
      </c>
      <c r="X8" s="203"/>
    </row>
    <row r="9" spans="1:24" ht="13">
      <c r="C9"/>
      <c r="D9" s="154"/>
      <c r="E9" s="151"/>
      <c r="F9" s="151"/>
      <c r="G9" s="151"/>
      <c r="H9" s="151"/>
      <c r="I9" s="155"/>
      <c r="J9" s="151"/>
      <c r="K9" s="126"/>
      <c r="L9" s="156"/>
      <c r="M9" s="157"/>
      <c r="N9" s="156"/>
      <c r="O9" s="158"/>
      <c r="Q9" s="233" t="s">
        <v>227</v>
      </c>
      <c r="R9" s="241">
        <v>4.0599999999999997E-2</v>
      </c>
      <c r="T9" s="203" t="s">
        <v>297</v>
      </c>
      <c r="U9" s="377">
        <v>0.33</v>
      </c>
      <c r="V9" s="375">
        <f>DCF!G59</f>
        <v>176.85295289304443</v>
      </c>
      <c r="W9" s="376">
        <f>U9*V9</f>
        <v>58.361474454704663</v>
      </c>
    </row>
    <row r="10" spans="1:24" ht="13">
      <c r="C10"/>
      <c r="D10" s="154"/>
      <c r="E10" s="151"/>
      <c r="F10" s="151"/>
      <c r="G10" s="151"/>
      <c r="H10" s="151"/>
      <c r="I10" s="159"/>
      <c r="J10" s="151"/>
      <c r="K10" s="126"/>
      <c r="L10" s="156"/>
      <c r="M10" s="157"/>
      <c r="N10" s="156"/>
      <c r="O10" s="158"/>
      <c r="Q10" s="233" t="s">
        <v>228</v>
      </c>
      <c r="R10" s="242">
        <f>R8-R9</f>
        <v>6.7400000000000002E-2</v>
      </c>
      <c r="T10" s="203" t="s">
        <v>293</v>
      </c>
      <c r="U10" s="377">
        <v>0.33</v>
      </c>
      <c r="V10" s="375">
        <f>DCF!G79</f>
        <v>189.49864117158256</v>
      </c>
      <c r="W10" s="376">
        <f>U10*V10</f>
        <v>62.53455158662225</v>
      </c>
    </row>
    <row r="11" spans="1:24" ht="13">
      <c r="C11"/>
      <c r="D11" s="160"/>
      <c r="E11" s="161"/>
      <c r="F11" s="162"/>
      <c r="G11" s="161"/>
      <c r="H11" s="161"/>
      <c r="I11" s="163"/>
      <c r="J11" s="164"/>
      <c r="K11" s="126"/>
      <c r="L11" s="165"/>
      <c r="M11" s="157"/>
      <c r="N11" s="156"/>
      <c r="O11" s="158"/>
      <c r="Q11" s="234" t="s">
        <v>229</v>
      </c>
      <c r="R11" s="240">
        <v>1.26</v>
      </c>
      <c r="T11" s="387" t="s">
        <v>362</v>
      </c>
      <c r="U11" s="388">
        <v>0.34</v>
      </c>
      <c r="V11" s="389">
        <f>Comps!P32</f>
        <v>130.00550749694219</v>
      </c>
      <c r="W11" s="390">
        <f>U11*V11</f>
        <v>44.201872548960345</v>
      </c>
    </row>
    <row r="12" spans="1:24" ht="15.5">
      <c r="C12"/>
      <c r="D12"/>
      <c r="E12"/>
      <c r="F12"/>
      <c r="G12"/>
      <c r="H12"/>
      <c r="I12"/>
      <c r="J12" s="150"/>
      <c r="K12" s="171"/>
      <c r="L12" s="72"/>
      <c r="M12" s="172"/>
      <c r="N12" s="173"/>
      <c r="O12" s="174"/>
      <c r="Q12" s="235" t="s">
        <v>230</v>
      </c>
      <c r="R12" s="243">
        <f>R11*R10+R9</f>
        <v>0.125524</v>
      </c>
    </row>
    <row r="13" spans="1:24" ht="13">
      <c r="A13" s="115" t="s">
        <v>363</v>
      </c>
      <c r="B13" s="115"/>
      <c r="C13"/>
      <c r="D13" s="227"/>
      <c r="E13" s="228"/>
      <c r="F13" s="228"/>
      <c r="G13" s="228"/>
      <c r="H13" s="228"/>
      <c r="I13" s="229"/>
      <c r="J13" s="151"/>
      <c r="Q13" s="232" t="s">
        <v>231</v>
      </c>
      <c r="R13" s="247">
        <v>4.0599999999999997E-2</v>
      </c>
    </row>
    <row r="14" spans="1:24" ht="13">
      <c r="C14"/>
      <c r="D14" s="166"/>
      <c r="E14" s="167"/>
      <c r="F14" s="168"/>
      <c r="G14" s="168"/>
      <c r="H14" s="168"/>
      <c r="I14" s="169"/>
      <c r="J14" s="170"/>
      <c r="Q14" s="236" t="s">
        <v>232</v>
      </c>
      <c r="R14" s="241">
        <v>0.21</v>
      </c>
    </row>
    <row r="15" spans="1:24" ht="13">
      <c r="C15"/>
      <c r="D15" s="175"/>
      <c r="E15" s="176"/>
      <c r="F15" s="177"/>
      <c r="G15" s="178"/>
      <c r="H15" s="179"/>
      <c r="I15" s="180"/>
      <c r="J15" s="176"/>
      <c r="K15"/>
      <c r="L15"/>
      <c r="M15"/>
      <c r="N15"/>
      <c r="O15"/>
      <c r="Q15" s="237" t="s">
        <v>233</v>
      </c>
      <c r="R15" s="248">
        <f>R13*(1-R14)</f>
        <v>3.2073999999999998E-2</v>
      </c>
    </row>
    <row r="16" spans="1:24" ht="13">
      <c r="C16"/>
      <c r="D16" s="175"/>
      <c r="E16" s="176"/>
      <c r="F16" s="177"/>
      <c r="G16" s="178"/>
      <c r="H16" s="179"/>
      <c r="I16" s="180"/>
      <c r="J16" s="176"/>
      <c r="K16" s="227"/>
      <c r="L16" s="222"/>
      <c r="M16" s="222"/>
      <c r="N16" s="222"/>
      <c r="O16" s="222"/>
      <c r="P16" s="203"/>
      <c r="Q16" s="203" t="s">
        <v>234</v>
      </c>
      <c r="R16" s="246">
        <v>0.98499999999999999</v>
      </c>
    </row>
    <row r="17" spans="1:23" ht="15.5">
      <c r="A17" s="115" t="s">
        <v>364</v>
      </c>
      <c r="B17" s="115"/>
      <c r="C17"/>
      <c r="D17" s="181"/>
      <c r="E17" s="182"/>
      <c r="F17" s="183"/>
      <c r="G17" s="184"/>
      <c r="H17" s="185"/>
      <c r="I17" s="186"/>
      <c r="J17" s="176"/>
      <c r="K17" s="187"/>
      <c r="L17" s="188"/>
      <c r="M17" s="188"/>
      <c r="N17" s="188"/>
      <c r="O17" s="189"/>
      <c r="Q17" s="203" t="s">
        <v>235</v>
      </c>
      <c r="R17" s="246">
        <v>1.4999999999999999E-2</v>
      </c>
    </row>
    <row r="18" spans="1:23" ht="13">
      <c r="C18"/>
      <c r="D18" s="204"/>
      <c r="E18" s="205"/>
      <c r="F18" s="206"/>
      <c r="G18" s="207"/>
      <c r="H18" s="208"/>
      <c r="I18" s="209"/>
      <c r="J18" s="176"/>
      <c r="K18" s="126"/>
      <c r="L18" s="190"/>
      <c r="M18" s="190"/>
      <c r="N18" s="190"/>
      <c r="O18" s="191"/>
      <c r="Q18" s="245" t="s">
        <v>225</v>
      </c>
      <c r="R18" s="244">
        <f>R16*R12+R17*R15</f>
        <v>0.12412225</v>
      </c>
    </row>
    <row r="19" spans="1:23">
      <c r="C19"/>
      <c r="D19" s="176"/>
      <c r="E19" s="176"/>
      <c r="F19" s="177"/>
      <c r="G19" s="178"/>
      <c r="H19" s="179"/>
      <c r="I19" s="176"/>
      <c r="J19" s="176"/>
      <c r="K19" s="126"/>
      <c r="L19" s="190"/>
      <c r="M19" s="190"/>
      <c r="N19" s="190"/>
      <c r="O19" s="191"/>
      <c r="T19" s="381" t="s">
        <v>365</v>
      </c>
      <c r="U19" s="378"/>
      <c r="V19" s="385"/>
      <c r="W19" s="385">
        <f>SUM(W9:W11)</f>
        <v>165.09789859028726</v>
      </c>
    </row>
    <row r="20" spans="1:23" ht="13">
      <c r="C20"/>
      <c r="D20" s="227"/>
      <c r="E20" s="230"/>
      <c r="F20" s="230"/>
      <c r="G20" s="230"/>
      <c r="H20" s="230"/>
      <c r="I20" s="231"/>
      <c r="J20" s="176"/>
      <c r="K20" s="126"/>
      <c r="L20" s="190"/>
      <c r="M20" s="190"/>
      <c r="N20" s="190"/>
      <c r="O20" s="191"/>
      <c r="T20" s="203" t="s">
        <v>336</v>
      </c>
      <c r="U20" s="203"/>
      <c r="V20" s="382"/>
      <c r="W20" s="382">
        <v>121</v>
      </c>
    </row>
    <row r="21" spans="1:23" ht="13">
      <c r="A21" s="31" t="s">
        <v>166</v>
      </c>
      <c r="B21" s="31" t="s">
        <v>167</v>
      </c>
      <c r="C21"/>
      <c r="D21" s="197"/>
      <c r="E21" s="198"/>
      <c r="F21" s="198"/>
      <c r="G21" s="198"/>
      <c r="H21" s="198"/>
      <c r="I21" s="199"/>
      <c r="J21" s="170"/>
      <c r="K21" s="126"/>
      <c r="L21" s="190"/>
      <c r="M21" s="190"/>
      <c r="N21" s="190"/>
      <c r="O21" s="191"/>
      <c r="T21" s="381" t="s">
        <v>366</v>
      </c>
      <c r="U21" s="381"/>
      <c r="V21" s="386"/>
      <c r="W21" s="639">
        <f>(W19-W20)/W20</f>
        <v>0.36444544289493602</v>
      </c>
    </row>
    <row r="22" spans="1:23" ht="13">
      <c r="C22"/>
      <c r="D22" s="200"/>
      <c r="E22" s="201"/>
      <c r="F22" s="201"/>
      <c r="G22" s="201"/>
      <c r="H22" s="201"/>
      <c r="I22" s="202"/>
      <c r="J22" s="150"/>
      <c r="K22" s="192"/>
      <c r="L22" s="193"/>
      <c r="M22" s="193"/>
      <c r="N22" s="193"/>
      <c r="O22" s="194"/>
    </row>
    <row r="23" spans="1:23" ht="13">
      <c r="C23"/>
      <c r="D23" s="211"/>
      <c r="E23"/>
      <c r="F23"/>
      <c r="G23"/>
      <c r="H23"/>
      <c r="I23"/>
      <c r="J23" s="150"/>
      <c r="K23"/>
      <c r="L23"/>
      <c r="M23"/>
      <c r="N23"/>
      <c r="O23"/>
    </row>
    <row r="24" spans="1:23" ht="15.5">
      <c r="A24" s="1"/>
      <c r="C24"/>
      <c r="D24" s="212"/>
      <c r="E24" s="198"/>
      <c r="F24" s="213"/>
      <c r="G24" s="214"/>
      <c r="H24" s="215"/>
      <c r="I24" s="215"/>
      <c r="J24" s="195"/>
      <c r="K24"/>
      <c r="L24"/>
      <c r="M24"/>
      <c r="N24"/>
      <c r="O24"/>
    </row>
    <row r="25" spans="1:23" ht="15.5">
      <c r="C25"/>
      <c r="D25" s="216"/>
      <c r="E25" s="217"/>
      <c r="F25" s="210"/>
      <c r="G25" s="218"/>
      <c r="H25" s="217"/>
      <c r="I25" s="217"/>
      <c r="J25" s="196"/>
      <c r="K25"/>
      <c r="L25"/>
      <c r="M25"/>
      <c r="N25"/>
      <c r="O25"/>
    </row>
    <row r="26" spans="1:23" ht="15.5">
      <c r="C26"/>
      <c r="D26" s="216"/>
      <c r="E26" s="217"/>
      <c r="F26" s="210"/>
      <c r="G26" s="218"/>
      <c r="H26" s="217"/>
      <c r="I26" s="217"/>
      <c r="J26" s="196"/>
      <c r="K26"/>
      <c r="L26"/>
      <c r="M26"/>
      <c r="N26"/>
      <c r="O26"/>
    </row>
    <row r="27" spans="1:23" ht="13">
      <c r="C27"/>
      <c r="D27" s="219"/>
      <c r="E27" s="219"/>
      <c r="F27" s="219"/>
      <c r="G27" s="219"/>
      <c r="H27" s="219"/>
      <c r="I27" s="220"/>
      <c r="J27" s="164"/>
      <c r="K27"/>
      <c r="L27"/>
      <c r="M27"/>
      <c r="N27"/>
      <c r="O27"/>
    </row>
    <row r="28" spans="1:23">
      <c r="B28" s="7"/>
      <c r="C28"/>
      <c r="F28"/>
      <c r="G28"/>
      <c r="H28"/>
      <c r="I28"/>
      <c r="J28"/>
      <c r="K28"/>
      <c r="L28"/>
      <c r="M28"/>
      <c r="N28"/>
      <c r="O28"/>
    </row>
    <row r="29" spans="1:23" ht="13">
      <c r="A29" s="1"/>
      <c r="C29"/>
      <c r="F29"/>
      <c r="G29"/>
      <c r="H29"/>
      <c r="I29"/>
      <c r="J29"/>
      <c r="K29"/>
      <c r="L29"/>
      <c r="M29"/>
      <c r="N29"/>
      <c r="O29"/>
    </row>
    <row r="30" spans="1:23" ht="13">
      <c r="C30"/>
      <c r="F30" s="198"/>
      <c r="G30" s="198"/>
      <c r="H30" s="198"/>
      <c r="I30" s="221"/>
      <c r="J30"/>
      <c r="K30"/>
      <c r="L30"/>
      <c r="M30"/>
      <c r="N30"/>
      <c r="O30"/>
    </row>
    <row r="31" spans="1:23" ht="13">
      <c r="C31"/>
      <c r="F31" s="198"/>
      <c r="G31" s="198"/>
      <c r="H31" s="198"/>
      <c r="I31" s="221"/>
      <c r="J31"/>
      <c r="K31"/>
      <c r="L31"/>
      <c r="M31"/>
      <c r="N31"/>
      <c r="O31"/>
    </row>
    <row r="32" spans="1:23">
      <c r="C32"/>
      <c r="F32"/>
      <c r="G32"/>
      <c r="H32"/>
      <c r="I32"/>
      <c r="J32"/>
      <c r="K32"/>
      <c r="L32"/>
      <c r="M32"/>
      <c r="N32"/>
      <c r="O32"/>
    </row>
    <row r="33" spans="3:15">
      <c r="C33"/>
      <c r="J33"/>
      <c r="K33"/>
      <c r="L33"/>
      <c r="M33"/>
      <c r="N33"/>
      <c r="O33"/>
    </row>
    <row r="34" spans="3:15">
      <c r="C34"/>
      <c r="J34"/>
      <c r="K34"/>
      <c r="L34"/>
      <c r="M34"/>
      <c r="N34"/>
      <c r="O34"/>
    </row>
    <row r="35" spans="3:15">
      <c r="C35"/>
      <c r="J35"/>
      <c r="K35"/>
      <c r="L35"/>
      <c r="M35"/>
      <c r="N35"/>
      <c r="O35"/>
    </row>
    <row r="36" spans="3:15">
      <c r="C36"/>
      <c r="F36"/>
      <c r="G36"/>
      <c r="H36"/>
      <c r="I36"/>
      <c r="J36"/>
      <c r="K36"/>
      <c r="L36"/>
      <c r="M36"/>
      <c r="N36"/>
      <c r="O36"/>
    </row>
  </sheetData>
  <mergeCells count="2">
    <mergeCell ref="D5:I5"/>
    <mergeCell ref="K5:O5"/>
  </mergeCells>
  <pageMargins left="0.74803149606299202" right="0.74803149606299202" top="0.98425196850393704" bottom="0.98425196850393704" header="0.511811023622047" footer="0.511811023622047"/>
  <pageSetup paperSize="9" orientation="landscape" r:id="rId1"/>
  <headerFooter alignWithMargins="0">
    <oddHeader>&amp;L&amp;"Arial,Regular"&amp;8&amp;C&amp;"Arial,Regular"&amp;8&amp;R&amp;"Arial,Regular"&amp;8&amp;F</oddHeader>
    <oddFooter>&amp;L&amp;"Arial,Regular"&amp;8&amp;C&amp;"Arial,Regular"&amp;8&amp;R&amp;"Arial,Regular"&amp;8For training purposes only!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A815C-4AFE-47D2-B614-8FCAD2F4C385}">
  <dimension ref="A1:BN48"/>
  <sheetViews>
    <sheetView topLeftCell="AF3" workbookViewId="0">
      <selection activeCell="BH38" sqref="BH38"/>
    </sheetView>
  </sheetViews>
  <sheetFormatPr defaultRowHeight="12.5"/>
  <cols>
    <col min="1" max="1" width="11" customWidth="1"/>
    <col min="3" max="3" width="23.26953125" customWidth="1"/>
    <col min="4" max="4" width="19" bestFit="1" customWidth="1"/>
    <col min="10" max="10" width="14.7265625" customWidth="1"/>
    <col min="11" max="11" width="10.54296875" bestFit="1" customWidth="1"/>
    <col min="12" max="13" width="11.54296875" bestFit="1" customWidth="1"/>
    <col min="20" max="20" width="10" customWidth="1"/>
    <col min="53" max="53" width="13.81640625" customWidth="1"/>
    <col min="54" max="56" width="9.54296875" bestFit="1" customWidth="1"/>
  </cols>
  <sheetData>
    <row r="1" spans="1:66">
      <c r="A1" t="s">
        <v>367</v>
      </c>
      <c r="B1" t="s">
        <v>368</v>
      </c>
      <c r="C1" t="s">
        <v>369</v>
      </c>
      <c r="J1" t="s">
        <v>370</v>
      </c>
      <c r="K1">
        <v>2025</v>
      </c>
      <c r="L1" t="s">
        <v>24</v>
      </c>
      <c r="M1" t="s">
        <v>25</v>
      </c>
      <c r="P1" t="s">
        <v>371</v>
      </c>
      <c r="Q1" t="s">
        <v>196</v>
      </c>
      <c r="T1">
        <v>2025</v>
      </c>
      <c r="U1" t="s">
        <v>24</v>
      </c>
      <c r="V1" t="s">
        <v>25</v>
      </c>
      <c r="BA1" s="367">
        <v>2022</v>
      </c>
      <c r="BB1" s="367">
        <v>2023</v>
      </c>
      <c r="BC1" s="367">
        <v>2024</v>
      </c>
      <c r="BD1" s="367">
        <v>2025</v>
      </c>
    </row>
    <row r="2" spans="1:66">
      <c r="A2">
        <v>63</v>
      </c>
      <c r="B2">
        <v>25</v>
      </c>
      <c r="C2">
        <v>12</v>
      </c>
      <c r="J2" t="s">
        <v>367</v>
      </c>
      <c r="K2" s="76">
        <v>8340</v>
      </c>
      <c r="L2" s="76">
        <v>10039.6</v>
      </c>
      <c r="M2" s="76">
        <v>11887</v>
      </c>
      <c r="P2" s="76">
        <v>97.03</v>
      </c>
      <c r="Q2" s="76">
        <v>2.97</v>
      </c>
      <c r="T2">
        <v>8800</v>
      </c>
      <c r="U2">
        <v>9200</v>
      </c>
      <c r="V2">
        <v>9500</v>
      </c>
      <c r="AB2" t="s">
        <v>372</v>
      </c>
      <c r="AO2" t="s">
        <v>362</v>
      </c>
      <c r="AY2" t="s">
        <v>373</v>
      </c>
      <c r="BA2" s="104">
        <v>0.82</v>
      </c>
      <c r="BB2" s="104">
        <v>0.78</v>
      </c>
      <c r="BC2" s="104">
        <v>0.88</v>
      </c>
      <c r="BD2" s="104">
        <v>0.85</v>
      </c>
    </row>
    <row r="3" spans="1:66">
      <c r="J3" t="s">
        <v>368</v>
      </c>
      <c r="K3" s="76">
        <v>3402</v>
      </c>
      <c r="L3" s="76">
        <v>4131.8999999999996</v>
      </c>
      <c r="M3" s="76">
        <v>4885.5</v>
      </c>
      <c r="P3" s="76"/>
      <c r="U3" s="70">
        <f>(U2-T2)/T2</f>
        <v>4.5454545454545456E-2</v>
      </c>
      <c r="V3" s="70">
        <f>(V2-U2)/U2</f>
        <v>3.2608695652173912E-2</v>
      </c>
      <c r="AC3" t="s">
        <v>305</v>
      </c>
      <c r="AD3" t="s">
        <v>314</v>
      </c>
      <c r="AE3" t="s">
        <v>301</v>
      </c>
      <c r="AF3" t="s">
        <v>374</v>
      </c>
      <c r="AG3" t="s">
        <v>375</v>
      </c>
      <c r="AP3" t="s">
        <v>376</v>
      </c>
      <c r="AQ3" t="s">
        <v>377</v>
      </c>
      <c r="AR3" t="s">
        <v>301</v>
      </c>
      <c r="AS3" t="s">
        <v>378</v>
      </c>
      <c r="AT3" t="s">
        <v>375</v>
      </c>
      <c r="BA3" s="104"/>
      <c r="BB3" s="104"/>
      <c r="BC3" s="104"/>
      <c r="BD3" s="104"/>
    </row>
    <row r="4" spans="1:66">
      <c r="J4" t="s">
        <v>369</v>
      </c>
      <c r="K4" s="76">
        <v>1528</v>
      </c>
      <c r="L4" s="76">
        <v>1818.3</v>
      </c>
      <c r="M4" s="76">
        <v>2229.6999999999998</v>
      </c>
      <c r="AB4" t="s">
        <v>379</v>
      </c>
      <c r="AC4">
        <v>44</v>
      </c>
      <c r="AD4">
        <v>15</v>
      </c>
      <c r="AG4">
        <f>100-(AC4+AD4)</f>
        <v>41</v>
      </c>
      <c r="AI4" t="s">
        <v>380</v>
      </c>
      <c r="AL4" t="s">
        <v>381</v>
      </c>
      <c r="AO4" t="s">
        <v>382</v>
      </c>
      <c r="AP4">
        <v>28</v>
      </c>
      <c r="AQ4">
        <v>24</v>
      </c>
      <c r="AR4">
        <v>18</v>
      </c>
      <c r="AS4">
        <v>6</v>
      </c>
      <c r="AT4">
        <f>100-(AP4+AQ4+AR4+AS4)</f>
        <v>24</v>
      </c>
      <c r="BK4" s="367">
        <v>2022</v>
      </c>
      <c r="BL4" s="367">
        <v>2023</v>
      </c>
      <c r="BM4" s="367">
        <v>2024</v>
      </c>
      <c r="BN4" s="367">
        <v>2025</v>
      </c>
    </row>
    <row r="5" spans="1:66">
      <c r="J5" t="s">
        <v>383</v>
      </c>
      <c r="K5" s="76">
        <f>SUM(K2:K4)</f>
        <v>13270</v>
      </c>
      <c r="L5" s="76">
        <f t="shared" ref="L5:M5" si="0">SUM(L2:L4)</f>
        <v>15989.8</v>
      </c>
      <c r="M5" s="76">
        <f t="shared" si="0"/>
        <v>19002.2</v>
      </c>
      <c r="AB5" t="s">
        <v>308</v>
      </c>
      <c r="AC5">
        <v>2</v>
      </c>
      <c r="AE5">
        <v>5.7</v>
      </c>
      <c r="AF5">
        <v>20.7</v>
      </c>
      <c r="AG5">
        <f>100-(AC5+AE5+AF5)</f>
        <v>71.599999999999994</v>
      </c>
      <c r="BI5" t="s">
        <v>384</v>
      </c>
      <c r="BK5" s="320">
        <f>Assumptions!F26</f>
        <v>0.6544943820224719</v>
      </c>
      <c r="BL5" s="320">
        <f>Assumptions!G26</f>
        <v>0.6789906103286385</v>
      </c>
      <c r="BM5" s="320">
        <f>Assumptions!H26</f>
        <v>0.65004766444232598</v>
      </c>
      <c r="BN5" s="320">
        <f>Assumptions!I26</f>
        <v>0.64700389105058365</v>
      </c>
    </row>
    <row r="6" spans="1:66">
      <c r="J6" t="s">
        <v>367</v>
      </c>
      <c r="K6" s="70">
        <f>K2/K5</f>
        <v>0.62848530519969859</v>
      </c>
      <c r="L6" s="70">
        <f t="shared" ref="L6:M6" si="1">L2/L5</f>
        <v>0.62787527048493419</v>
      </c>
      <c r="M6" s="70">
        <f t="shared" si="1"/>
        <v>0.62555914578311977</v>
      </c>
    </row>
    <row r="7" spans="1:66">
      <c r="J7" t="s">
        <v>368</v>
      </c>
      <c r="K7" s="70">
        <v>0.25</v>
      </c>
      <c r="L7" s="70">
        <f>L3/L5</f>
        <v>0.2584084854094485</v>
      </c>
      <c r="M7" s="70">
        <f>M3/M5</f>
        <v>0.25710180926419046</v>
      </c>
      <c r="AB7" t="s">
        <v>372</v>
      </c>
      <c r="BA7" s="367">
        <v>2022</v>
      </c>
      <c r="BB7" s="367">
        <v>2023</v>
      </c>
      <c r="BC7" s="367">
        <v>2024</v>
      </c>
      <c r="BD7" s="367">
        <v>2025</v>
      </c>
      <c r="BK7">
        <v>2022</v>
      </c>
      <c r="BL7">
        <v>2023</v>
      </c>
      <c r="BM7">
        <v>2024</v>
      </c>
      <c r="BN7">
        <v>2025</v>
      </c>
    </row>
    <row r="8" spans="1:66">
      <c r="J8" t="s">
        <v>369</v>
      </c>
      <c r="K8" s="70">
        <f>K4/K5</f>
        <v>0.11514694800301432</v>
      </c>
      <c r="L8" s="70">
        <f t="shared" ref="L8:M8" si="2">L4/L5</f>
        <v>0.11371624410561733</v>
      </c>
      <c r="M8" s="70">
        <f t="shared" si="2"/>
        <v>0.11733904495268968</v>
      </c>
      <c r="AD8" t="s">
        <v>305</v>
      </c>
      <c r="AE8" t="s">
        <v>301</v>
      </c>
      <c r="AF8" t="s">
        <v>308</v>
      </c>
      <c r="AG8" t="s">
        <v>375</v>
      </c>
      <c r="AY8" t="s">
        <v>385</v>
      </c>
      <c r="BA8" s="320">
        <v>0.52900000000000003</v>
      </c>
      <c r="BB8" s="320">
        <v>0.53900000000000003</v>
      </c>
      <c r="BC8" s="320">
        <v>0.53500000000000003</v>
      </c>
      <c r="BD8" s="320">
        <v>0.56000000000000005</v>
      </c>
      <c r="BJ8" t="s">
        <v>386</v>
      </c>
      <c r="BK8" s="320">
        <f>Assumptions!F21</f>
        <v>0.25217391304347825</v>
      </c>
      <c r="BL8" s="320">
        <f>Assumptions!G21</f>
        <v>0.25</v>
      </c>
      <c r="BM8" s="320">
        <f>Assumptions!H21</f>
        <v>0.2388888888888889</v>
      </c>
      <c r="BN8" s="320">
        <f>Assumptions!I21</f>
        <v>0.26457399103139012</v>
      </c>
    </row>
    <row r="10" spans="1:66">
      <c r="AB10" t="s">
        <v>387</v>
      </c>
      <c r="AD10">
        <v>2</v>
      </c>
      <c r="AE10">
        <v>5.7</v>
      </c>
      <c r="AF10">
        <v>20.7</v>
      </c>
      <c r="AG10">
        <f>100-(AD10+AE10+AF10)</f>
        <v>71.599999999999994</v>
      </c>
    </row>
    <row r="11" spans="1:66">
      <c r="M11" s="366"/>
      <c r="N11" s="366"/>
      <c r="O11" s="366"/>
      <c r="P11" s="366"/>
      <c r="Q11" s="366"/>
      <c r="R11" s="366"/>
      <c r="S11" s="366"/>
      <c r="T11" s="366"/>
      <c r="U11" s="366"/>
    </row>
    <row r="13" spans="1:66">
      <c r="S13" s="366"/>
    </row>
    <row r="14" spans="1:66">
      <c r="BA14" s="367">
        <v>2022</v>
      </c>
      <c r="BB14" s="367">
        <v>2023</v>
      </c>
      <c r="BC14" s="367">
        <v>2024</v>
      </c>
      <c r="BD14" s="367">
        <v>2025</v>
      </c>
    </row>
    <row r="15" spans="1:66">
      <c r="AY15" t="s">
        <v>388</v>
      </c>
      <c r="BA15" s="105">
        <f>Assumptions!F23</f>
        <v>0.49444444444444446</v>
      </c>
      <c r="BB15" s="105">
        <f>Assumptions!G23</f>
        <v>0.47333333333333333</v>
      </c>
      <c r="BC15" s="105">
        <f>Assumptions!H23</f>
        <v>0.47040358744394617</v>
      </c>
      <c r="BD15" s="105">
        <f>Assumptions!I23</f>
        <v>0.45567375886524825</v>
      </c>
    </row>
    <row r="17" spans="14:56">
      <c r="N17" s="366"/>
      <c r="O17" s="366"/>
      <c r="P17" s="366"/>
      <c r="Q17" s="366"/>
      <c r="R17" s="366"/>
      <c r="S17" s="366"/>
    </row>
    <row r="19" spans="14:56">
      <c r="BA19" s="367">
        <v>2022</v>
      </c>
      <c r="BB19" s="367">
        <v>2023</v>
      </c>
      <c r="BC19" s="367">
        <v>2024</v>
      </c>
      <c r="BD19" s="367">
        <v>2025</v>
      </c>
    </row>
    <row r="20" spans="14:56">
      <c r="AY20" t="s">
        <v>299</v>
      </c>
      <c r="BA20">
        <f>CFS!E11+CFS!E14</f>
        <v>2173</v>
      </c>
      <c r="BB20">
        <f>CFS!F11+CFS!F14</f>
        <v>2704</v>
      </c>
      <c r="BC20">
        <f>CFS!G11+CFS!G14</f>
        <v>3415</v>
      </c>
      <c r="BD20">
        <f>CFS!H11+CFS!H14</f>
        <v>4576</v>
      </c>
    </row>
    <row r="21" spans="14:56">
      <c r="AY21" t="s">
        <v>389</v>
      </c>
      <c r="BB21" s="320">
        <f>(BB20-BA20)/BA20</f>
        <v>0.24436263230556834</v>
      </c>
      <c r="BC21" s="320">
        <f>(BC20-BB20)/BB20</f>
        <v>0.26294378698224852</v>
      </c>
      <c r="BD21" s="320">
        <f>(BD20-BC20)/BC20</f>
        <v>0.33997071742313323</v>
      </c>
    </row>
    <row r="22" spans="14:56">
      <c r="O22" s="366"/>
      <c r="P22" s="366"/>
      <c r="Q22" s="366"/>
      <c r="R22" s="366"/>
      <c r="S22" s="366"/>
      <c r="T22" s="366"/>
      <c r="U22" s="366"/>
    </row>
    <row r="26" spans="14:56" ht="93">
      <c r="AY26" s="371" t="s">
        <v>390</v>
      </c>
      <c r="AZ26" s="371" t="s">
        <v>391</v>
      </c>
      <c r="BA26" s="371" t="s">
        <v>392</v>
      </c>
    </row>
    <row r="27" spans="14:56" ht="46.5">
      <c r="O27">
        <v>2021</v>
      </c>
      <c r="P27">
        <v>2022</v>
      </c>
      <c r="Q27">
        <v>2023</v>
      </c>
      <c r="R27">
        <v>2024</v>
      </c>
      <c r="S27">
        <v>2025</v>
      </c>
      <c r="T27" t="s">
        <v>24</v>
      </c>
      <c r="U27" t="s">
        <v>25</v>
      </c>
      <c r="AY27" s="372" t="s">
        <v>393</v>
      </c>
      <c r="AZ27" s="373" t="s">
        <v>394</v>
      </c>
      <c r="BA27" s="373"/>
    </row>
    <row r="28" spans="14:56" ht="46.5">
      <c r="O28" s="311">
        <v>7.4</v>
      </c>
      <c r="P28" s="311">
        <v>7.7</v>
      </c>
      <c r="Q28" s="311">
        <v>8.1</v>
      </c>
      <c r="R28" s="311">
        <v>8.4</v>
      </c>
      <c r="S28" s="311">
        <v>8.8000000000000007</v>
      </c>
      <c r="T28" s="311">
        <v>9.1999999999999993</v>
      </c>
      <c r="U28" s="311">
        <v>9.5</v>
      </c>
      <c r="AY28" s="372" t="s">
        <v>395</v>
      </c>
      <c r="AZ28" s="373" t="s">
        <v>396</v>
      </c>
      <c r="BA28" s="373"/>
    </row>
    <row r="29" spans="14:56" ht="46.5">
      <c r="P29" s="70">
        <f>(P28-O28)/O28</f>
        <v>4.0540540540540515E-2</v>
      </c>
      <c r="Q29" s="70">
        <f t="shared" ref="Q29:S29" si="3">(Q28-P28)/P28</f>
        <v>5.1948051948051875E-2</v>
      </c>
      <c r="R29" s="70">
        <f t="shared" si="3"/>
        <v>3.7037037037037125E-2</v>
      </c>
      <c r="S29" s="70">
        <f t="shared" si="3"/>
        <v>4.7619047619047658E-2</v>
      </c>
      <c r="T29" s="70">
        <f>(T28-S28)/S28</f>
        <v>4.5454545454545289E-2</v>
      </c>
      <c r="U29" s="70">
        <f>(U28-T28)/T28</f>
        <v>3.2608695652173995E-2</v>
      </c>
      <c r="AY29" s="372" t="s">
        <v>397</v>
      </c>
      <c r="AZ29" s="373" t="s">
        <v>398</v>
      </c>
      <c r="BA29" s="373"/>
    </row>
    <row r="30" spans="14:56" ht="62">
      <c r="AY30" s="372" t="s">
        <v>399</v>
      </c>
      <c r="AZ30" s="374" t="s">
        <v>400</v>
      </c>
      <c r="BA30" s="373"/>
    </row>
    <row r="33" spans="3:50">
      <c r="AH33" t="s">
        <v>401</v>
      </c>
    </row>
    <row r="34" spans="3:50">
      <c r="AJ34">
        <v>2021</v>
      </c>
      <c r="AK34">
        <v>2022</v>
      </c>
      <c r="AL34">
        <v>2023</v>
      </c>
      <c r="AM34">
        <v>2024</v>
      </c>
      <c r="AN34">
        <v>2025</v>
      </c>
    </row>
    <row r="35" spans="3:50">
      <c r="AH35" t="s">
        <v>402</v>
      </c>
      <c r="AJ35">
        <v>57</v>
      </c>
      <c r="AK35">
        <v>59</v>
      </c>
      <c r="AL35">
        <v>55</v>
      </c>
      <c r="AM35">
        <v>52</v>
      </c>
      <c r="AN35">
        <v>47</v>
      </c>
    </row>
    <row r="36" spans="3:50">
      <c r="AH36" t="s">
        <v>403</v>
      </c>
      <c r="AJ36">
        <v>28</v>
      </c>
      <c r="AK36">
        <v>26</v>
      </c>
      <c r="AL36">
        <v>29</v>
      </c>
      <c r="AM36">
        <v>30</v>
      </c>
      <c r="AN36">
        <v>31</v>
      </c>
    </row>
    <row r="37" spans="3:50">
      <c r="AH37" t="s">
        <v>404</v>
      </c>
      <c r="AJ37">
        <v>15</v>
      </c>
      <c r="AK37">
        <v>15</v>
      </c>
      <c r="AL37">
        <v>16</v>
      </c>
      <c r="AM37">
        <v>18</v>
      </c>
      <c r="AN37">
        <v>22</v>
      </c>
    </row>
    <row r="38" spans="3:50">
      <c r="AV38" s="367">
        <v>2024</v>
      </c>
      <c r="AW38" s="367">
        <v>2025</v>
      </c>
      <c r="AX38" s="367">
        <v>2026</v>
      </c>
    </row>
    <row r="39" spans="3:50">
      <c r="AT39" t="s">
        <v>405</v>
      </c>
      <c r="AV39" s="269">
        <v>250</v>
      </c>
      <c r="AW39" s="269">
        <v>600</v>
      </c>
      <c r="AX39" s="269">
        <v>1000</v>
      </c>
    </row>
    <row r="41" spans="3:50">
      <c r="C41" t="s">
        <v>406</v>
      </c>
    </row>
    <row r="42" spans="3:50">
      <c r="C42" t="s">
        <v>407</v>
      </c>
      <c r="D42" s="156">
        <v>12883000000</v>
      </c>
      <c r="H42">
        <v>2020</v>
      </c>
      <c r="I42">
        <v>2021</v>
      </c>
      <c r="J42">
        <v>2022</v>
      </c>
      <c r="K42">
        <v>2023</v>
      </c>
      <c r="L42">
        <v>2024</v>
      </c>
      <c r="M42">
        <v>2025</v>
      </c>
      <c r="N42" t="s">
        <v>24</v>
      </c>
      <c r="O42" t="s">
        <v>25</v>
      </c>
    </row>
    <row r="43" spans="3:50">
      <c r="C43" t="s">
        <v>408</v>
      </c>
      <c r="D43">
        <v>8800</v>
      </c>
      <c r="G43" t="s">
        <v>409</v>
      </c>
      <c r="H43">
        <f>4519/1000</f>
        <v>4.5190000000000001</v>
      </c>
      <c r="I43">
        <v>5.89</v>
      </c>
      <c r="J43">
        <v>7.25</v>
      </c>
      <c r="K43">
        <v>8.9700000000000006</v>
      </c>
      <c r="L43">
        <v>10.98</v>
      </c>
      <c r="M43">
        <v>13.28</v>
      </c>
      <c r="N43">
        <v>15.99</v>
      </c>
      <c r="O43">
        <v>18.95</v>
      </c>
    </row>
    <row r="44" spans="3:50">
      <c r="C44" t="s">
        <v>410</v>
      </c>
      <c r="D44">
        <v>603</v>
      </c>
      <c r="G44" t="s">
        <v>411</v>
      </c>
      <c r="I44" s="320">
        <f>(I43-H43)/H43</f>
        <v>0.30338570480194721</v>
      </c>
      <c r="J44" s="320">
        <f t="shared" ref="J44:O44" si="4">(J43-I43)/I43</f>
        <v>0.23089983022071314</v>
      </c>
      <c r="K44" s="320">
        <f t="shared" si="4"/>
        <v>0.23724137931034492</v>
      </c>
      <c r="L44" s="320">
        <f t="shared" si="4"/>
        <v>0.22408026755852839</v>
      </c>
      <c r="M44" s="320">
        <f t="shared" si="4"/>
        <v>0.20947176684881591</v>
      </c>
      <c r="N44" s="320">
        <f t="shared" si="4"/>
        <v>0.20406626506024103</v>
      </c>
      <c r="O44" s="320">
        <f t="shared" si="4"/>
        <v>0.1851156973108192</v>
      </c>
    </row>
    <row r="45" spans="3:50">
      <c r="C45" t="s">
        <v>412</v>
      </c>
      <c r="D45" s="156">
        <v>14700000</v>
      </c>
    </row>
    <row r="46" spans="3:50">
      <c r="C46" t="s">
        <v>413</v>
      </c>
      <c r="D46" s="70">
        <f>D44/D43</f>
        <v>6.8522727272727277E-2</v>
      </c>
    </row>
    <row r="47" spans="3:50">
      <c r="C47" t="s">
        <v>414</v>
      </c>
      <c r="D47" s="156">
        <f>D44*D45</f>
        <v>8864100000</v>
      </c>
    </row>
    <row r="48" spans="3:50">
      <c r="C48" t="s">
        <v>415</v>
      </c>
      <c r="D48" s="70">
        <f>D47/D42</f>
        <v>0.68804626251649459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Inputs</vt:lpstr>
      <vt:lpstr>Assumptions</vt:lpstr>
      <vt:lpstr>IS</vt:lpstr>
      <vt:lpstr>BS</vt:lpstr>
      <vt:lpstr>CFS</vt:lpstr>
      <vt:lpstr>DCF</vt:lpstr>
      <vt:lpstr>Comps</vt:lpstr>
      <vt:lpstr>Summary</vt:lpstr>
      <vt:lpstr>Charts </vt:lpstr>
      <vt:lpstr>Ccy</vt:lpstr>
      <vt:lpstr>CoName</vt:lpstr>
      <vt:lpstr>Units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Aryaan Rajwani</dc:creator>
  <cp:keywords/>
  <dc:description/>
  <cp:lastModifiedBy>Aryaan Rajwani</cp:lastModifiedBy>
  <cp:revision/>
  <dcterms:created xsi:type="dcterms:W3CDTF">2026-08-07T20:23:21Z</dcterms:created>
  <dcterms:modified xsi:type="dcterms:W3CDTF">2026-08-07T20:38:39Z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0x0101005FED60F50E66D7459BA33F1F5F94930B</vt:lpwstr>
  </property>
  <property fmtid="{D5CDD505-2E9C-101B-9397-08002B2CF9AE}" pid="3" name="{A44787D4-0540-4523-9961-78E4036D8C6D}">
    <vt:lpwstr>{EFC2BDDD-0BBE-44B6-91AF-188367302421}</vt:lpwstr>
  </property>
  <property fmtid="{D5CDD505-2E9C-101B-9397-08002B2CF9AE}" pid="4" name="Order">
    <vt:r8>1800</vt:r8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